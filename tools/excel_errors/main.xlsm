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mipt_edu\tools\excel_errors\"/>
    </mc:Choice>
  </mc:AlternateContent>
  <xr:revisionPtr revIDLastSave="0" documentId="13_ncr:1_{15AAA382-A4A3-4C0A-B42E-EB8F787D015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Values" sheetId="3" r:id="rId1"/>
    <sheet name="Errors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rr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ff">
          <x14:argumentDescriptions count="1">
            <x14:argumentDescription index="0">Positional argument 1</x14:argumentDescription>
          </x14:argumentDescriptions>
        </x14:definedName>
        <x14:definedName name="get_error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3" l="1"/>
  <c r="A10" i="2"/>
  <c r="N7" i="2"/>
  <c r="M7" i="2"/>
  <c r="L7" i="2"/>
  <c r="K7" i="2"/>
  <c r="N6" i="2"/>
  <c r="M6" i="2"/>
  <c r="L6" i="2"/>
  <c r="K6" i="2"/>
  <c r="N5" i="2"/>
  <c r="M5" i="2"/>
  <c r="L5" i="2"/>
  <c r="K5" i="2"/>
  <c r="N4" i="2"/>
  <c r="M4" i="2"/>
  <c r="L4" i="2"/>
  <c r="K4" i="2"/>
  <c r="N3" i="2"/>
  <c r="M3" i="2"/>
  <c r="L3" i="2"/>
  <c r="K3" i="2"/>
  <c r="N2" i="2"/>
  <c r="M2" i="2"/>
  <c r="L2" i="2"/>
  <c r="K2" i="2"/>
  <c r="F2" i="2"/>
  <c r="N3" i="3"/>
  <c r="N4" i="3"/>
  <c r="N5" i="3"/>
  <c r="N6" i="3"/>
  <c r="N7" i="3"/>
  <c r="N2" i="3"/>
  <c r="M3" i="3"/>
  <c r="M4" i="3"/>
  <c r="M5" i="3"/>
  <c r="M6" i="3"/>
  <c r="M7" i="3"/>
  <c r="M2" i="3"/>
  <c r="L3" i="3"/>
  <c r="L4" i="3"/>
  <c r="L5" i="3"/>
  <c r="L6" i="3"/>
  <c r="L7" i="3"/>
  <c r="L2" i="3"/>
  <c r="F2" i="3"/>
  <c r="K7" i="3"/>
  <c r="K6" i="3"/>
  <c r="K5" i="3"/>
  <c r="K4" i="3"/>
  <c r="K3" i="3"/>
  <c r="K2" i="3"/>
</calcChain>
</file>

<file path=xl/sharedStrings.xml><?xml version="1.0" encoding="utf-8"?>
<sst xmlns="http://schemas.openxmlformats.org/spreadsheetml/2006/main" count="42" uniqueCount="20">
  <si>
    <t>T_0, мкс</t>
  </si>
  <si>
    <t>С, мкф</t>
  </si>
  <si>
    <t>R* = 8,1 кОм</t>
  </si>
  <si>
    <t>C0, мкФ</t>
  </si>
  <si>
    <t>L, Гн</t>
  </si>
  <si>
    <t>C* = 5 + 1 нФ</t>
  </si>
  <si>
    <t>theta</t>
  </si>
  <si>
    <t>U_1</t>
  </si>
  <si>
    <t>U_5</t>
  </si>
  <si>
    <t>U1</t>
  </si>
  <si>
    <t>U2</t>
  </si>
  <si>
    <t>R</t>
  </si>
  <si>
    <t>R = 410</t>
  </si>
  <si>
    <t>R, Ом</t>
  </si>
  <si>
    <t>U0</t>
  </si>
  <si>
    <t>U5</t>
  </si>
  <si>
    <t>Q</t>
  </si>
  <si>
    <t>Q2</t>
  </si>
  <si>
    <t>1R2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</si>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</sst>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E60FA-4146-4242-B4C6-4E4E219DB39D}">
  <sheetPr codeName="Лист1"/>
  <dimension ref="A1:T16"/>
  <sheetViews>
    <sheetView zoomScale="113" workbookViewId="0">
      <selection activeCell="A11" sqref="A11"/>
    </sheetView>
  </sheetViews>
  <sheetFormatPr defaultRowHeight="14.4" x14ac:dyDescent="0.3"/>
  <cols>
    <col min="1" max="1" width="12.5546875" bestFit="1" customWidth="1"/>
    <col min="2" max="2" width="10" bestFit="1" customWidth="1"/>
    <col min="3" max="4" width="9" bestFit="1" customWidth="1"/>
    <col min="5" max="5" width="12.5546875" bestFit="1" customWidth="1"/>
    <col min="6" max="6" width="12.77734375" bestFit="1" customWidth="1"/>
    <col min="7" max="13" width="9" bestFit="1" customWidth="1"/>
    <col min="14" max="14" width="12.21875" bestFit="1" customWidth="1"/>
    <col min="15" max="16" width="9" bestFit="1" customWidth="1"/>
  </cols>
  <sheetData>
    <row r="1" spans="1:20" x14ac:dyDescent="0.3">
      <c r="A1" t="s">
        <v>4</v>
      </c>
      <c r="B1">
        <v>0.1</v>
      </c>
      <c r="D1" t="s">
        <v>1</v>
      </c>
      <c r="E1" t="s">
        <v>0</v>
      </c>
      <c r="F1" t="s">
        <v>3</v>
      </c>
      <c r="H1" t="s">
        <v>13</v>
      </c>
      <c r="I1" t="s">
        <v>9</v>
      </c>
      <c r="J1" t="s">
        <v>10</v>
      </c>
      <c r="K1" t="s">
        <v>6</v>
      </c>
      <c r="L1" t="s">
        <v>16</v>
      </c>
      <c r="M1" t="s">
        <v>17</v>
      </c>
      <c r="N1" t="s">
        <v>18</v>
      </c>
      <c r="Q1" t="s">
        <v>11</v>
      </c>
      <c r="R1" t="s">
        <v>14</v>
      </c>
      <c r="S1" t="s">
        <v>10</v>
      </c>
      <c r="T1" t="s">
        <v>15</v>
      </c>
    </row>
    <row r="2" spans="1:20" x14ac:dyDescent="0.3">
      <c r="A2" t="s">
        <v>19</v>
      </c>
      <c r="B2">
        <v>6</v>
      </c>
      <c r="D2">
        <v>0</v>
      </c>
      <c r="E2">
        <v>65</v>
      </c>
      <c r="F2">
        <f>(E2/2/3.1415/1000000)^2/$B$1</f>
        <v>1.0702681311717578E-9</v>
      </c>
      <c r="H2">
        <v>410</v>
      </c>
      <c r="I2">
        <v>2.2200000000000002</v>
      </c>
      <c r="J2">
        <v>0.54</v>
      </c>
      <c r="K2">
        <f>0.25*LN(I2/J2)</f>
        <v>0.35342333382700131</v>
      </c>
      <c r="L2">
        <f>3.1415/K2</f>
        <v>8.8887736018520673</v>
      </c>
      <c r="M2">
        <f>L2^2</f>
        <v>79.010296144982178</v>
      </c>
      <c r="N2">
        <f>1/H2^2</f>
        <v>5.9488399762046405E-6</v>
      </c>
      <c r="Q2">
        <v>405</v>
      </c>
      <c r="R2">
        <v>10.1</v>
      </c>
      <c r="S2">
        <v>4.9000000000000004</v>
      </c>
      <c r="T2">
        <v>1.8</v>
      </c>
    </row>
    <row r="3" spans="1:20" x14ac:dyDescent="0.3">
      <c r="D3">
        <v>1E-3</v>
      </c>
      <c r="E3">
        <v>91</v>
      </c>
      <c r="H3">
        <v>810</v>
      </c>
      <c r="I3">
        <v>2.59</v>
      </c>
      <c r="J3">
        <v>0.17</v>
      </c>
      <c r="K3">
        <f t="shared" ref="K3" si="0">0.25*LN(I3/J3)</f>
        <v>0.68090367941083041</v>
      </c>
      <c r="L3">
        <f t="shared" ref="L3:L7" si="1">3.1415/K3</f>
        <v>4.6137215805887033</v>
      </c>
      <c r="M3">
        <f t="shared" ref="M3:M7" si="2">L3^2</f>
        <v>21.286426823189924</v>
      </c>
      <c r="N3">
        <f t="shared" ref="N3:N7" si="3">1/H3^2</f>
        <v>1.5241579027587259E-6</v>
      </c>
      <c r="Q3">
        <v>810</v>
      </c>
      <c r="R3">
        <v>5.52</v>
      </c>
      <c r="S3">
        <v>1.4</v>
      </c>
      <c r="T3">
        <v>0.36</v>
      </c>
    </row>
    <row r="4" spans="1:20" x14ac:dyDescent="0.3">
      <c r="D4">
        <v>2E-3</v>
      </c>
      <c r="E4">
        <v>111</v>
      </c>
      <c r="H4">
        <v>1215</v>
      </c>
      <c r="I4">
        <v>2.09</v>
      </c>
      <c r="J4">
        <v>0.09</v>
      </c>
      <c r="K4">
        <f>0.333*LN(I4/J4)</f>
        <v>1.047321521651321</v>
      </c>
      <c r="L4">
        <f t="shared" si="1"/>
        <v>2.999556425658827</v>
      </c>
      <c r="M4">
        <f t="shared" si="2"/>
        <v>8.9973387507111582</v>
      </c>
      <c r="N4">
        <f t="shared" si="3"/>
        <v>6.7740351233721144E-7</v>
      </c>
      <c r="Q4">
        <v>1215</v>
      </c>
      <c r="R4">
        <v>3.92</v>
      </c>
      <c r="S4">
        <v>1.4</v>
      </c>
      <c r="T4">
        <v>0.18</v>
      </c>
    </row>
    <row r="5" spans="1:20" x14ac:dyDescent="0.3">
      <c r="D5">
        <v>3.0000000000000001E-3</v>
      </c>
      <c r="E5">
        <v>127</v>
      </c>
      <c r="H5">
        <v>1620</v>
      </c>
      <c r="I5">
        <v>1.7</v>
      </c>
      <c r="J5">
        <v>0.11</v>
      </c>
      <c r="K5">
        <f>0.5*LN(I5/J5)</f>
        <v>1.3689515821259455</v>
      </c>
      <c r="L5">
        <f t="shared" si="1"/>
        <v>2.2948218483529814</v>
      </c>
      <c r="M5">
        <f t="shared" si="2"/>
        <v>5.2662073156781943</v>
      </c>
      <c r="N5">
        <f t="shared" si="3"/>
        <v>3.8103947568968147E-7</v>
      </c>
    </row>
    <row r="6" spans="1:20" x14ac:dyDescent="0.3">
      <c r="D6">
        <v>4.0000000000000001E-3</v>
      </c>
      <c r="E6">
        <v>142</v>
      </c>
      <c r="H6">
        <v>2025</v>
      </c>
      <c r="I6">
        <v>1.38</v>
      </c>
      <c r="J6">
        <v>0.06</v>
      </c>
      <c r="K6">
        <f>0.5*LN(I6/J6)</f>
        <v>1.5677471079645748</v>
      </c>
      <c r="L6">
        <f t="shared" si="1"/>
        <v>2.0038308372825817</v>
      </c>
      <c r="M6">
        <f t="shared" si="2"/>
        <v>4.0153380244446124</v>
      </c>
      <c r="N6">
        <f t="shared" si="3"/>
        <v>2.4386526444139612E-7</v>
      </c>
    </row>
    <row r="7" spans="1:20" x14ac:dyDescent="0.3">
      <c r="D7">
        <v>5.0000000000000001E-3</v>
      </c>
      <c r="E7">
        <v>155</v>
      </c>
      <c r="H7">
        <v>2430</v>
      </c>
      <c r="I7">
        <v>1.1200000000000001</v>
      </c>
      <c r="J7">
        <v>0.16</v>
      </c>
      <c r="K7">
        <f>1*LN(I7/J7)</f>
        <v>1.9459101490553135</v>
      </c>
      <c r="L7">
        <f t="shared" si="1"/>
        <v>1.6144116425545718</v>
      </c>
      <c r="M7">
        <f t="shared" si="2"/>
        <v>2.6063249516157505</v>
      </c>
      <c r="N7">
        <f t="shared" si="3"/>
        <v>1.6935087808430286E-7</v>
      </c>
    </row>
    <row r="8" spans="1:20" x14ac:dyDescent="0.3">
      <c r="D8">
        <v>6.0000000000000001E-3</v>
      </c>
      <c r="E8">
        <v>168</v>
      </c>
    </row>
    <row r="9" spans="1:20" x14ac:dyDescent="0.3">
      <c r="D9">
        <v>7.0000000000000001E-3</v>
      </c>
      <c r="E9">
        <v>179</v>
      </c>
    </row>
    <row r="10" spans="1:20" x14ac:dyDescent="0.3">
      <c r="A10">
        <f>2 * 3.1415 * (B1/B2)^0.5 * 10000</f>
        <v>8111.3181214070664</v>
      </c>
      <c r="D10">
        <v>8.0000000000000002E-3</v>
      </c>
      <c r="E10">
        <v>190</v>
      </c>
    </row>
    <row r="11" spans="1:20" x14ac:dyDescent="0.3">
      <c r="D11">
        <v>8.9999999999999993E-3</v>
      </c>
      <c r="E11">
        <v>200</v>
      </c>
    </row>
    <row r="14" spans="1:20" x14ac:dyDescent="0.3">
      <c r="A14" t="s">
        <v>5</v>
      </c>
      <c r="C14" t="s">
        <v>7</v>
      </c>
      <c r="D14">
        <v>2.2200000000000002</v>
      </c>
    </row>
    <row r="15" spans="1:20" x14ac:dyDescent="0.3">
      <c r="A15" t="s">
        <v>2</v>
      </c>
      <c r="C15" t="s">
        <v>8</v>
      </c>
      <c r="D15">
        <v>0.54</v>
      </c>
    </row>
    <row r="16" spans="1:20" x14ac:dyDescent="0.3">
      <c r="A16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63EE0-2555-4893-B249-C5A35DE52CD2}">
  <sheetPr codeName="Лист2"/>
  <dimension ref="A1:T16"/>
  <sheetViews>
    <sheetView tabSelected="1" zoomScale="110" workbookViewId="0">
      <selection activeCell="J16" sqref="J16"/>
    </sheetView>
  </sheetViews>
  <sheetFormatPr defaultRowHeight="14.4" x14ac:dyDescent="0.3"/>
  <sheetData>
    <row r="1" spans="1:20" x14ac:dyDescent="0.3">
      <c r="A1" t="s">
        <v>4</v>
      </c>
      <c r="B1">
        <v>1E-3</v>
      </c>
      <c r="D1" t="s">
        <v>1</v>
      </c>
      <c r="E1" t="s">
        <v>0</v>
      </c>
      <c r="F1" t="s">
        <v>3</v>
      </c>
      <c r="H1" t="s">
        <v>13</v>
      </c>
      <c r="I1" t="s">
        <v>9</v>
      </c>
      <c r="J1" t="s">
        <v>10</v>
      </c>
      <c r="K1" t="s">
        <v>6</v>
      </c>
      <c r="L1" t="s">
        <v>16</v>
      </c>
      <c r="M1" t="s">
        <v>17</v>
      </c>
      <c r="N1" t="s">
        <v>18</v>
      </c>
      <c r="Q1" t="s">
        <v>11</v>
      </c>
      <c r="R1" t="s">
        <v>14</v>
      </c>
      <c r="S1" t="s">
        <v>10</v>
      </c>
      <c r="T1" t="s">
        <v>15</v>
      </c>
    </row>
    <row r="2" spans="1:20" x14ac:dyDescent="0.3">
      <c r="A2" t="s">
        <v>19</v>
      </c>
      <c r="B2">
        <v>0.01</v>
      </c>
      <c r="F2" t="e">
        <f>ERR("=(E2/2/3.1415/1000000)^2/$B$1",Values!E2,Errors!E2)</f>
        <v>#VALUE!</v>
      </c>
      <c r="H2">
        <v>0.01</v>
      </c>
      <c r="I2">
        <v>0.01</v>
      </c>
      <c r="J2">
        <v>0.01</v>
      </c>
      <c r="K2">
        <f>ERR("=0.25*LN(I2/J2)",Values!I2,Errors!I2,Values!J2,Errors!J2)</f>
        <v>4.7646284979995322E-3</v>
      </c>
      <c r="L2">
        <f>ERR("=3.1415/K2",Values!K2,Errors!K2)</f>
        <v>0.11983279717828758</v>
      </c>
      <c r="M2">
        <f>ERR("=L2^2",Values!L2,Errors!L2)</f>
        <v>2.1303311711749879</v>
      </c>
      <c r="N2">
        <f>ERR("=1/H2^2",Values!H2,Errors!H2)</f>
        <v>2.9018739322397109E-10</v>
      </c>
    </row>
    <row r="3" spans="1:20" x14ac:dyDescent="0.3">
      <c r="H3">
        <v>0.01</v>
      </c>
      <c r="I3">
        <v>0.01</v>
      </c>
      <c r="J3">
        <v>0.01</v>
      </c>
      <c r="K3">
        <f>ERR("=0.25*LN(I3/J3)",Values!I3,Errors!I3,Values!J3,Errors!J3)</f>
        <v>1.4737527646997095E-2</v>
      </c>
      <c r="L3">
        <f>ERR("=3.1415/K3",Values!K3,Errors!K3)</f>
        <v>9.9859742943013821E-2</v>
      </c>
      <c r="M3">
        <f>ERR("=L3^2",Values!L3,Errors!L3)</f>
        <v>0.92145025676185577</v>
      </c>
      <c r="N3">
        <f>ERR("=1/H3^2",Values!H3,Errors!H3)</f>
        <v>3.7633556203043671E-11</v>
      </c>
    </row>
    <row r="4" spans="1:20" x14ac:dyDescent="0.3">
      <c r="H4">
        <v>0.01</v>
      </c>
      <c r="I4">
        <v>0.01</v>
      </c>
      <c r="J4">
        <v>0.01</v>
      </c>
      <c r="K4">
        <f>ERR("=0.333*LN(I4/J4)",Values!I4,Errors!I4,Values!J4,Errors!J4)</f>
        <v>3.7034198869562995E-2</v>
      </c>
      <c r="L4">
        <f>ERR("=3.1415/K4",Values!K4,Errors!K4)</f>
        <v>0.10606699017369139</v>
      </c>
      <c r="M4">
        <f>ERR("=L4^2",Values!L4,Errors!L4)</f>
        <v>0.63630766412581741</v>
      </c>
      <c r="N4">
        <f>ERR("=1/H4^2",Values!H4,Errors!H4)</f>
        <v>1.1150678962254981E-11</v>
      </c>
    </row>
    <row r="5" spans="1:20" x14ac:dyDescent="0.3">
      <c r="H5">
        <v>0.01</v>
      </c>
      <c r="I5">
        <v>0.01</v>
      </c>
      <c r="J5">
        <v>0.01</v>
      </c>
      <c r="K5">
        <f>ERR("=0.5*LN(I5/J5)",Values!I5,Errors!I5,Values!J5,Errors!J5)</f>
        <v>4.5549706258681759E-2</v>
      </c>
      <c r="L5">
        <f>ERR("=3.1415/K5",Values!K5,Errors!K5)</f>
        <v>7.635658879138893E-2</v>
      </c>
      <c r="M5">
        <f>ERR("=L5^2",Values!L5,Errors!L5)</f>
        <v>0.35044954672468126</v>
      </c>
      <c r="N5">
        <f>ERR("=1/H5^2",Values!H5,Errors!H5)</f>
        <v>4.7041945253804588E-12</v>
      </c>
    </row>
    <row r="6" spans="1:20" x14ac:dyDescent="0.3">
      <c r="H6">
        <v>0.01</v>
      </c>
      <c r="I6">
        <v>0.01</v>
      </c>
      <c r="J6">
        <v>0.01</v>
      </c>
      <c r="K6">
        <f>ERR("=0.5*LN(I6/J6)",Values!I6,Errors!I6,Values!J6,Errors!J6)</f>
        <v>8.3412068011844434E-2</v>
      </c>
      <c r="L6">
        <f>ERR("=3.1415/K6",Values!K6,Errors!K6)</f>
        <v>0.10661402268532572</v>
      </c>
      <c r="M6">
        <f>ERR("=L6^2",Values!L6,Errors!L6)</f>
        <v>0.42727329110561535</v>
      </c>
      <c r="N6">
        <f>ERR("=1/H6^2",Values!H6,Errors!H6)</f>
        <v>2.4085447212656524E-12</v>
      </c>
    </row>
    <row r="7" spans="1:20" x14ac:dyDescent="0.3">
      <c r="H7">
        <v>0.01</v>
      </c>
      <c r="I7">
        <v>0.01</v>
      </c>
      <c r="J7">
        <v>0.01</v>
      </c>
      <c r="K7">
        <f>ERR("=1*LN(I7/J7)",Values!I7,Errors!I7,Values!J7,Errors!J7)</f>
        <v>6.3134606547967792E-2</v>
      </c>
      <c r="L7">
        <f>ERR("=3.1415/K7",Values!K7,Errors!K7)</f>
        <v>5.2379223433219324E-2</v>
      </c>
      <c r="M7">
        <f>ERR("=L7^2",Values!L7,Errors!L7)</f>
        <v>0.16912319747793156</v>
      </c>
      <c r="N7">
        <f>ERR("=1/H7^2",Values!H7,Errors!H7)</f>
        <v>1.3938348702818726E-12</v>
      </c>
    </row>
    <row r="10" spans="1:20" x14ac:dyDescent="0.3">
      <c r="A10">
        <f>ERR("=2 * 3.1415 * (B1/B2)^0.5 * 10000",Values!B1,Errors!B1,Values!B2,Errors!B2)</f>
        <v>41.11597867693343</v>
      </c>
    </row>
    <row r="14" spans="1:20" x14ac:dyDescent="0.3">
      <c r="A14" t="s">
        <v>5</v>
      </c>
      <c r="C14" t="s">
        <v>7</v>
      </c>
    </row>
    <row r="15" spans="1:20" x14ac:dyDescent="0.3">
      <c r="A15" t="s">
        <v>2</v>
      </c>
      <c r="C15" t="s">
        <v>8</v>
      </c>
    </row>
    <row r="16" spans="1:20" x14ac:dyDescent="0.3">
      <c r="A16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Values</vt:lpstr>
      <vt:lpstr>Errors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Шахматов</dc:creator>
  <cp:lastModifiedBy>Андрей Шахматов</cp:lastModifiedBy>
  <dcterms:created xsi:type="dcterms:W3CDTF">2015-06-05T18:19:34Z</dcterms:created>
  <dcterms:modified xsi:type="dcterms:W3CDTF">2024-10-25T18:35:26Z</dcterms:modified>
</cp:coreProperties>
</file>