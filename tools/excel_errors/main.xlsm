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877BEC08-3047-4FEC-94FC-72AFC6BF11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  <c r="K6" i="3"/>
  <c r="K5" i="3"/>
  <c r="K4" i="3"/>
  <c r="K3" i="3"/>
  <c r="K2" i="3"/>
  <c r="F2" i="3"/>
</calcChain>
</file>

<file path=xl/sharedStrings.xml><?xml version="1.0" encoding="utf-8"?>
<sst xmlns="http://schemas.openxmlformats.org/spreadsheetml/2006/main" count="17" uniqueCount="16">
  <si>
    <t>T_0, мкс</t>
  </si>
  <si>
    <t>С, мкф</t>
  </si>
  <si>
    <t>R* = 8,1 кОм</t>
  </si>
  <si>
    <t>C0, мкФ</t>
  </si>
  <si>
    <t>L, Гн</t>
  </si>
  <si>
    <t>C* = 5 + 1 нФ</t>
  </si>
  <si>
    <t>theta</t>
  </si>
  <si>
    <t>U_1</t>
  </si>
  <si>
    <t>U_5</t>
  </si>
  <si>
    <t>U1</t>
  </si>
  <si>
    <t>U2</t>
  </si>
  <si>
    <t>R</t>
  </si>
  <si>
    <t>R = 410</t>
  </si>
  <si>
    <t>R, Ом</t>
  </si>
  <si>
    <t>U0</t>
  </si>
  <si>
    <t>U5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</si>
</sst>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P16"/>
  <sheetViews>
    <sheetView tabSelected="1" zoomScale="113" workbookViewId="0">
      <selection activeCell="I10" sqref="I10"/>
    </sheetView>
  </sheetViews>
  <sheetFormatPr defaultRowHeight="14.4" x14ac:dyDescent="0.3"/>
  <cols>
    <col min="1" max="1" width="10.21875" bestFit="1" customWidth="1"/>
    <col min="2" max="2" width="10" bestFit="1" customWidth="1"/>
    <col min="3" max="4" width="9" bestFit="1" customWidth="1"/>
    <col min="5" max="5" width="12.5546875" bestFit="1" customWidth="1"/>
    <col min="6" max="6" width="12.77734375" bestFit="1" customWidth="1"/>
    <col min="7" max="13" width="9" bestFit="1" customWidth="1"/>
    <col min="14" max="14" width="12.21875" bestFit="1" customWidth="1"/>
    <col min="15" max="16" width="9" bestFit="1" customWidth="1"/>
  </cols>
  <sheetData>
    <row r="1" spans="1:16" x14ac:dyDescent="0.3">
      <c r="A1" t="s">
        <v>4</v>
      </c>
      <c r="B1">
        <v>0.1</v>
      </c>
      <c r="D1" t="s">
        <v>1</v>
      </c>
      <c r="E1" t="s">
        <v>0</v>
      </c>
      <c r="F1" t="s">
        <v>3</v>
      </c>
      <c r="H1" t="s">
        <v>13</v>
      </c>
      <c r="I1" t="s">
        <v>9</v>
      </c>
      <c r="J1" t="s">
        <v>10</v>
      </c>
      <c r="K1" t="s">
        <v>6</v>
      </c>
      <c r="M1" t="s">
        <v>11</v>
      </c>
      <c r="N1" t="s">
        <v>14</v>
      </c>
      <c r="O1" t="s">
        <v>10</v>
      </c>
      <c r="P1" t="s">
        <v>15</v>
      </c>
    </row>
    <row r="2" spans="1:16" x14ac:dyDescent="0.3">
      <c r="D2">
        <v>0</v>
      </c>
      <c r="E2">
        <v>65</v>
      </c>
      <c r="F2">
        <f>(E2/2/3.1415/1000000)^2/B1</f>
        <v>1.0702681311717578E-9</v>
      </c>
      <c r="H2">
        <v>410</v>
      </c>
      <c r="I2">
        <v>2.2200000000000002</v>
      </c>
      <c r="J2">
        <v>0.54</v>
      </c>
      <c r="K2">
        <f>0.25*LN(I2/J2)</f>
        <v>0.35342333382700131</v>
      </c>
      <c r="M2">
        <v>405</v>
      </c>
      <c r="N2">
        <v>10.1</v>
      </c>
      <c r="O2">
        <v>4.9000000000000004</v>
      </c>
      <c r="P2">
        <v>1.8</v>
      </c>
    </row>
    <row r="3" spans="1:16" x14ac:dyDescent="0.3">
      <c r="D3">
        <v>1E-3</v>
      </c>
      <c r="E3">
        <v>91</v>
      </c>
      <c r="H3">
        <v>810</v>
      </c>
      <c r="I3">
        <v>2.59</v>
      </c>
      <c r="J3">
        <v>0.17</v>
      </c>
      <c r="K3">
        <f t="shared" ref="K3:K6" si="0">0.25*LN(I3/J3)</f>
        <v>0.68090367941083041</v>
      </c>
      <c r="M3">
        <v>810</v>
      </c>
      <c r="N3">
        <v>5.52</v>
      </c>
      <c r="O3">
        <v>1.4</v>
      </c>
      <c r="P3">
        <v>0.36</v>
      </c>
    </row>
    <row r="4" spans="1:16" x14ac:dyDescent="0.3">
      <c r="D4">
        <v>2E-3</v>
      </c>
      <c r="E4">
        <v>111</v>
      </c>
      <c r="H4">
        <v>1215</v>
      </c>
      <c r="I4">
        <v>2.09</v>
      </c>
      <c r="J4">
        <v>0.09</v>
      </c>
      <c r="K4">
        <f>0.333*LN(I4/J4)</f>
        <v>1.047321521651321</v>
      </c>
      <c r="M4">
        <v>1215</v>
      </c>
      <c r="N4">
        <v>3.92</v>
      </c>
      <c r="O4">
        <v>1.4</v>
      </c>
      <c r="P4">
        <v>0.18</v>
      </c>
    </row>
    <row r="5" spans="1:16" x14ac:dyDescent="0.3">
      <c r="D5">
        <v>3.0000000000000001E-3</v>
      </c>
      <c r="E5">
        <v>127</v>
      </c>
      <c r="H5">
        <v>1620</v>
      </c>
      <c r="I5">
        <v>1.7</v>
      </c>
      <c r="J5">
        <v>0.11</v>
      </c>
      <c r="K5">
        <f>0.5*LN(I5/J5)</f>
        <v>1.3689515821259455</v>
      </c>
    </row>
    <row r="6" spans="1:16" x14ac:dyDescent="0.3">
      <c r="D6">
        <v>4.0000000000000001E-3</v>
      </c>
      <c r="E6">
        <v>142</v>
      </c>
      <c r="H6">
        <v>2025</v>
      </c>
      <c r="I6">
        <v>1.38</v>
      </c>
      <c r="J6">
        <v>0.06</v>
      </c>
      <c r="K6">
        <f>0.5*LN(I6/J6)</f>
        <v>1.5677471079645748</v>
      </c>
    </row>
    <row r="7" spans="1:16" x14ac:dyDescent="0.3">
      <c r="D7">
        <v>5.0000000000000001E-3</v>
      </c>
      <c r="E7">
        <v>155</v>
      </c>
      <c r="H7">
        <v>2430</v>
      </c>
      <c r="I7">
        <v>1.1200000000000001</v>
      </c>
      <c r="J7">
        <v>0.16</v>
      </c>
      <c r="K7">
        <f>1*LN(I7/J7)</f>
        <v>1.9459101490553135</v>
      </c>
    </row>
    <row r="8" spans="1:16" x14ac:dyDescent="0.3">
      <c r="D8">
        <v>6.0000000000000001E-3</v>
      </c>
      <c r="E8">
        <v>168</v>
      </c>
    </row>
    <row r="9" spans="1:16" x14ac:dyDescent="0.3">
      <c r="D9">
        <v>7.0000000000000001E-3</v>
      </c>
      <c r="E9">
        <v>179</v>
      </c>
    </row>
    <row r="10" spans="1:16" x14ac:dyDescent="0.3">
      <c r="D10">
        <v>8.0000000000000002E-3</v>
      </c>
      <c r="E10">
        <v>190</v>
      </c>
    </row>
    <row r="11" spans="1:16" x14ac:dyDescent="0.3">
      <c r="D11">
        <v>8.9999999999999993E-3</v>
      </c>
      <c r="E11">
        <v>200</v>
      </c>
    </row>
    <row r="14" spans="1:16" x14ac:dyDescent="0.3">
      <c r="A14" t="s">
        <v>5</v>
      </c>
      <c r="C14" t="s">
        <v>7</v>
      </c>
      <c r="D14">
        <v>2.2200000000000002</v>
      </c>
    </row>
    <row r="15" spans="1:16" x14ac:dyDescent="0.3">
      <c r="A15" t="s">
        <v>2</v>
      </c>
      <c r="C15" t="s">
        <v>8</v>
      </c>
      <c r="D15">
        <v>0.54</v>
      </c>
    </row>
    <row r="16" spans="1:16" x14ac:dyDescent="0.3">
      <c r="A16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"/>
  <sheetViews>
    <sheetView zoomScale="121" workbookViewId="0">
      <selection activeCell="D13" sqref="D1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2024-10-19T13:52:58Z</dcterms:modified>
</cp:coreProperties>
</file>