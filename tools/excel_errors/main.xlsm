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ipt_edu\tools\excel_errors\"/>
    </mc:Choice>
  </mc:AlternateContent>
  <xr:revisionPtr revIDLastSave="0" documentId="13_ncr:1_{47351488-89CA-49BE-AE91-B79FB4D5AA3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Values" sheetId="3" r:id="rId1"/>
    <sheet name="Errors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ff">
          <x14:argumentDescriptions count="1">
            <x14:argumentDescription index="0">Positional argument 1</x14:argumentDescription>
          </x14:argumentDescriptions>
        </x14:definedName>
        <x14:definedName name="get_error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3" l="1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29" i="3"/>
  <c r="M24" i="3"/>
  <c r="M25" i="3"/>
  <c r="M26" i="3"/>
  <c r="M27" i="3"/>
  <c r="M28" i="3"/>
  <c r="M22" i="3"/>
  <c r="M23" i="3"/>
  <c r="M15" i="3"/>
  <c r="M16" i="3"/>
  <c r="M17" i="3"/>
  <c r="M18" i="3"/>
  <c r="M19" i="3"/>
  <c r="M20" i="3"/>
  <c r="M21" i="3"/>
  <c r="M14" i="3"/>
  <c r="M3" i="3"/>
  <c r="M4" i="3"/>
  <c r="M5" i="3"/>
  <c r="M6" i="3"/>
  <c r="M7" i="3"/>
  <c r="M8" i="3"/>
  <c r="M9" i="3"/>
  <c r="M10" i="3"/>
  <c r="M11" i="3"/>
  <c r="M12" i="3"/>
  <c r="M13" i="3"/>
  <c r="M2" i="3"/>
  <c r="O44" i="3"/>
  <c r="O41" i="3"/>
  <c r="O42" i="3"/>
  <c r="O43" i="3"/>
  <c r="O30" i="3"/>
  <c r="O31" i="3"/>
  <c r="O32" i="3"/>
  <c r="O33" i="3"/>
  <c r="O34" i="3"/>
  <c r="O35" i="3"/>
  <c r="O36" i="3"/>
  <c r="O37" i="3"/>
  <c r="O38" i="3"/>
  <c r="O39" i="3"/>
  <c r="O40" i="3"/>
  <c r="N41" i="3"/>
  <c r="N42" i="3"/>
  <c r="N43" i="3"/>
  <c r="N44" i="3"/>
  <c r="N30" i="3"/>
  <c r="N31" i="3"/>
  <c r="N32" i="3"/>
  <c r="N33" i="3"/>
  <c r="N34" i="3"/>
  <c r="N35" i="3"/>
  <c r="N36" i="3"/>
  <c r="N37" i="3"/>
  <c r="N38" i="3"/>
  <c r="N39" i="3"/>
  <c r="N40" i="3"/>
  <c r="O29" i="3"/>
  <c r="N29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N24" i="3"/>
  <c r="N25" i="3"/>
  <c r="N26" i="3"/>
  <c r="N27" i="3"/>
  <c r="N28" i="3"/>
  <c r="N15" i="3"/>
  <c r="N16" i="3"/>
  <c r="N17" i="3"/>
  <c r="N18" i="3"/>
  <c r="N19" i="3"/>
  <c r="N20" i="3"/>
  <c r="N21" i="3"/>
  <c r="N22" i="3"/>
  <c r="N23" i="3"/>
  <c r="O14" i="3"/>
  <c r="N14" i="3"/>
  <c r="O3" i="3"/>
  <c r="O4" i="3"/>
  <c r="O5" i="3"/>
  <c r="O6" i="3"/>
  <c r="O7" i="3"/>
  <c r="O8" i="3"/>
  <c r="O9" i="3"/>
  <c r="O10" i="3"/>
  <c r="O11" i="3"/>
  <c r="O12" i="3"/>
  <c r="O13" i="3"/>
  <c r="N2" i="3"/>
  <c r="O2" i="3" s="1"/>
  <c r="N3" i="3"/>
  <c r="N4" i="3"/>
  <c r="N5" i="3"/>
  <c r="N6" i="3"/>
  <c r="N7" i="3"/>
  <c r="N8" i="3"/>
  <c r="N9" i="3"/>
  <c r="N10" i="3"/>
  <c r="N11" i="3"/>
  <c r="N12" i="3"/>
  <c r="N1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33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16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33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52" i="3"/>
  <c r="G3" i="3"/>
  <c r="G4" i="3"/>
  <c r="G5" i="3"/>
  <c r="G6" i="3"/>
  <c r="G7" i="3"/>
  <c r="G8" i="3"/>
  <c r="G9" i="3"/>
  <c r="G10" i="3"/>
  <c r="G11" i="3"/>
  <c r="G12" i="3"/>
  <c r="G13" i="3"/>
  <c r="G2" i="3"/>
  <c r="F3" i="3"/>
  <c r="F4" i="3"/>
  <c r="F5" i="3"/>
  <c r="F6" i="3"/>
  <c r="F7" i="3"/>
  <c r="F8" i="3"/>
  <c r="F9" i="3"/>
  <c r="F10" i="3"/>
  <c r="F11" i="3"/>
  <c r="F12" i="3"/>
  <c r="F13" i="3"/>
  <c r="F2" i="3"/>
  <c r="H48" i="3"/>
  <c r="G48" i="3"/>
  <c r="H47" i="3"/>
  <c r="G47" i="3"/>
  <c r="H46" i="3"/>
  <c r="G46" i="3"/>
  <c r="H45" i="3"/>
  <c r="G45" i="3"/>
  <c r="H44" i="3"/>
  <c r="G44" i="3"/>
  <c r="H43" i="3"/>
  <c r="G43" i="3"/>
  <c r="H42" i="3"/>
  <c r="G42" i="3"/>
  <c r="H41" i="3"/>
  <c r="G41" i="3"/>
  <c r="H40" i="3"/>
  <c r="G40" i="3"/>
  <c r="H39" i="3"/>
  <c r="G39" i="3"/>
  <c r="H38" i="3"/>
  <c r="G38" i="3"/>
  <c r="H37" i="3"/>
  <c r="G37" i="3"/>
  <c r="H36" i="3"/>
  <c r="G36" i="3"/>
  <c r="H35" i="3"/>
  <c r="G35" i="3"/>
  <c r="H34" i="3"/>
  <c r="G34" i="3"/>
  <c r="H33" i="3"/>
  <c r="G33" i="3"/>
  <c r="I30" i="3"/>
  <c r="G30" i="3"/>
  <c r="J30" i="3" s="1"/>
  <c r="I29" i="3"/>
  <c r="G29" i="3"/>
  <c r="J29" i="3" s="1"/>
  <c r="I28" i="3"/>
  <c r="G28" i="3"/>
  <c r="J28" i="3" s="1"/>
  <c r="I27" i="3"/>
  <c r="G27" i="3"/>
  <c r="J27" i="3" s="1"/>
  <c r="I26" i="3"/>
  <c r="G26" i="3"/>
  <c r="J26" i="3" s="1"/>
  <c r="I25" i="3"/>
  <c r="G25" i="3"/>
  <c r="J25" i="3" s="1"/>
  <c r="I24" i="3"/>
  <c r="G24" i="3"/>
  <c r="H24" i="3" s="1"/>
  <c r="I23" i="3"/>
  <c r="G23" i="3"/>
  <c r="J23" i="3" s="1"/>
  <c r="I22" i="3"/>
  <c r="G22" i="3"/>
  <c r="H22" i="3" s="1"/>
  <c r="I21" i="3"/>
  <c r="G21" i="3"/>
  <c r="J21" i="3" s="1"/>
  <c r="I20" i="3"/>
  <c r="G20" i="3"/>
  <c r="J20" i="3" s="1"/>
  <c r="I19" i="3"/>
  <c r="G19" i="3"/>
  <c r="J19" i="3" s="1"/>
  <c r="I18" i="3"/>
  <c r="G18" i="3"/>
  <c r="J18" i="3" s="1"/>
  <c r="I17" i="3"/>
  <c r="G17" i="3"/>
  <c r="J17" i="3" s="1"/>
  <c r="I16" i="3"/>
  <c r="G16" i="3"/>
  <c r="J16" i="3" s="1"/>
  <c r="D13" i="3"/>
  <c r="E13" i="3" s="1"/>
  <c r="D12" i="3"/>
  <c r="E12" i="3" s="1"/>
  <c r="D11" i="3"/>
  <c r="E11" i="3" s="1"/>
  <c r="D10" i="3"/>
  <c r="E10" i="3" s="1"/>
  <c r="D9" i="3"/>
  <c r="E9" i="3" s="1"/>
  <c r="D8" i="3"/>
  <c r="E8" i="3" s="1"/>
  <c r="D7" i="3"/>
  <c r="E7" i="3" s="1"/>
  <c r="D6" i="3"/>
  <c r="E6" i="3" s="1"/>
  <c r="D5" i="3"/>
  <c r="E5" i="3" s="1"/>
  <c r="D4" i="3"/>
  <c r="E4" i="3" s="1"/>
  <c r="D3" i="3"/>
  <c r="E3" i="3" s="1"/>
  <c r="D2" i="3"/>
  <c r="E2" i="3" s="1"/>
  <c r="D69" i="2"/>
  <c r="C69" i="2"/>
  <c r="D68" i="2"/>
  <c r="C68" i="2"/>
  <c r="D67" i="2"/>
  <c r="C67" i="2"/>
  <c r="D66" i="2"/>
  <c r="C66" i="2"/>
  <c r="D65" i="2"/>
  <c r="C65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H48" i="2"/>
  <c r="G48" i="2"/>
  <c r="D48" i="2"/>
  <c r="I48" i="2" s="1"/>
  <c r="H47" i="2"/>
  <c r="G47" i="2"/>
  <c r="D47" i="2"/>
  <c r="I47" i="2" s="1"/>
  <c r="H46" i="2"/>
  <c r="G46" i="2"/>
  <c r="D46" i="2"/>
  <c r="I46" i="2" s="1"/>
  <c r="H45" i="2"/>
  <c r="G45" i="2"/>
  <c r="D45" i="2"/>
  <c r="I45" i="2" s="1"/>
  <c r="H44" i="2"/>
  <c r="G44" i="2"/>
  <c r="D44" i="2"/>
  <c r="I44" i="2" s="1"/>
  <c r="H43" i="2"/>
  <c r="G43" i="2"/>
  <c r="D43" i="2"/>
  <c r="I43" i="2" s="1"/>
  <c r="H42" i="2"/>
  <c r="G42" i="2"/>
  <c r="D42" i="2"/>
  <c r="I42" i="2" s="1"/>
  <c r="H41" i="2"/>
  <c r="G41" i="2"/>
  <c r="D41" i="2"/>
  <c r="I41" i="2" s="1"/>
  <c r="H40" i="2"/>
  <c r="G40" i="2"/>
  <c r="D40" i="2"/>
  <c r="I40" i="2" s="1"/>
  <c r="H39" i="2"/>
  <c r="G39" i="2"/>
  <c r="D39" i="2"/>
  <c r="I39" i="2" s="1"/>
  <c r="H38" i="2"/>
  <c r="G38" i="2"/>
  <c r="D38" i="2"/>
  <c r="I38" i="2" s="1"/>
  <c r="H37" i="2"/>
  <c r="G37" i="2"/>
  <c r="D37" i="2"/>
  <c r="I37" i="2" s="1"/>
  <c r="H36" i="2"/>
  <c r="G36" i="2"/>
  <c r="D36" i="2"/>
  <c r="I36" i="2" s="1"/>
  <c r="H35" i="2"/>
  <c r="G35" i="2"/>
  <c r="D35" i="2"/>
  <c r="I35" i="2" s="1"/>
  <c r="H34" i="2"/>
  <c r="G34" i="2"/>
  <c r="D34" i="2"/>
  <c r="I34" i="2" s="1"/>
  <c r="H33" i="2"/>
  <c r="G33" i="2"/>
  <c r="D33" i="2"/>
  <c r="I33" i="2" s="1"/>
  <c r="J30" i="2"/>
  <c r="I30" i="2"/>
  <c r="H30" i="2"/>
  <c r="G30" i="2"/>
  <c r="D30" i="2"/>
  <c r="K30" i="2" s="1"/>
  <c r="J29" i="2"/>
  <c r="I29" i="2"/>
  <c r="H29" i="2"/>
  <c r="G29" i="2"/>
  <c r="D29" i="2"/>
  <c r="K29" i="2" s="1"/>
  <c r="J28" i="2"/>
  <c r="I28" i="2"/>
  <c r="H28" i="2"/>
  <c r="G28" i="2"/>
  <c r="D28" i="2"/>
  <c r="K28" i="2" s="1"/>
  <c r="J27" i="2"/>
  <c r="I27" i="2"/>
  <c r="H27" i="2"/>
  <c r="G27" i="2"/>
  <c r="D27" i="2"/>
  <c r="K27" i="2" s="1"/>
  <c r="J26" i="2"/>
  <c r="I26" i="2"/>
  <c r="H26" i="2"/>
  <c r="G26" i="2"/>
  <c r="D26" i="2"/>
  <c r="K26" i="2" s="1"/>
  <c r="J25" i="2"/>
  <c r="I25" i="2"/>
  <c r="H25" i="2"/>
  <c r="G25" i="2"/>
  <c r="D25" i="2"/>
  <c r="K25" i="2" s="1"/>
  <c r="J24" i="2"/>
  <c r="I24" i="2"/>
  <c r="H24" i="2"/>
  <c r="G24" i="2"/>
  <c r="D24" i="2"/>
  <c r="K24" i="2" s="1"/>
  <c r="J23" i="2"/>
  <c r="I23" i="2"/>
  <c r="H23" i="2"/>
  <c r="G23" i="2"/>
  <c r="D23" i="2"/>
  <c r="K23" i="2" s="1"/>
  <c r="J22" i="2"/>
  <c r="I22" i="2"/>
  <c r="H22" i="2"/>
  <c r="G22" i="2"/>
  <c r="D22" i="2"/>
  <c r="K22" i="2" s="1"/>
  <c r="J21" i="2"/>
  <c r="I21" i="2"/>
  <c r="H21" i="2"/>
  <c r="G21" i="2"/>
  <c r="D21" i="2"/>
  <c r="K21" i="2" s="1"/>
  <c r="J20" i="2"/>
  <c r="I20" i="2"/>
  <c r="H20" i="2"/>
  <c r="G20" i="2"/>
  <c r="D20" i="2"/>
  <c r="K20" i="2" s="1"/>
  <c r="J19" i="2"/>
  <c r="I19" i="2"/>
  <c r="H19" i="2"/>
  <c r="G19" i="2"/>
  <c r="D19" i="2"/>
  <c r="K19" i="2" s="1"/>
  <c r="J18" i="2"/>
  <c r="I18" i="2"/>
  <c r="H18" i="2"/>
  <c r="G18" i="2"/>
  <c r="D18" i="2"/>
  <c r="K18" i="2" s="1"/>
  <c r="J17" i="2"/>
  <c r="I17" i="2"/>
  <c r="H17" i="2"/>
  <c r="G17" i="2"/>
  <c r="D17" i="2"/>
  <c r="K17" i="2" s="1"/>
  <c r="J16" i="2"/>
  <c r="I16" i="2"/>
  <c r="H16" i="2"/>
  <c r="G16" i="2"/>
  <c r="D16" i="2"/>
  <c r="K16" i="2" s="1"/>
  <c r="N13" i="2"/>
  <c r="G13" i="2"/>
  <c r="F13" i="2"/>
  <c r="E13" i="2"/>
  <c r="D13" i="2"/>
  <c r="N12" i="2"/>
  <c r="G12" i="2"/>
  <c r="F12" i="2"/>
  <c r="E12" i="2"/>
  <c r="D12" i="2"/>
  <c r="N11" i="2"/>
  <c r="G11" i="2"/>
  <c r="F11" i="2"/>
  <c r="E11" i="2"/>
  <c r="D11" i="2"/>
  <c r="N10" i="2"/>
  <c r="G10" i="2"/>
  <c r="F10" i="2"/>
  <c r="E10" i="2"/>
  <c r="D10" i="2"/>
  <c r="N9" i="2"/>
  <c r="G9" i="2"/>
  <c r="F9" i="2"/>
  <c r="E9" i="2"/>
  <c r="D9" i="2"/>
  <c r="N8" i="2"/>
  <c r="G8" i="2"/>
  <c r="F8" i="2"/>
  <c r="E8" i="2"/>
  <c r="D8" i="2"/>
  <c r="N7" i="2"/>
  <c r="G7" i="2"/>
  <c r="F7" i="2"/>
  <c r="E7" i="2"/>
  <c r="D7" i="2"/>
  <c r="N6" i="2"/>
  <c r="G6" i="2"/>
  <c r="F6" i="2"/>
  <c r="E6" i="2"/>
  <c r="D6" i="2"/>
  <c r="N5" i="2"/>
  <c r="G5" i="2"/>
  <c r="F5" i="2"/>
  <c r="E5" i="2"/>
  <c r="D5" i="2"/>
  <c r="N4" i="2"/>
  <c r="G4" i="2"/>
  <c r="F4" i="2"/>
  <c r="E4" i="2"/>
  <c r="D4" i="2"/>
  <c r="N3" i="2"/>
  <c r="G3" i="2"/>
  <c r="F3" i="2"/>
  <c r="E3" i="2"/>
  <c r="D3" i="2"/>
  <c r="N2" i="2"/>
  <c r="G2" i="2"/>
  <c r="F2" i="2"/>
  <c r="E2" i="2"/>
  <c r="D2" i="2"/>
  <c r="H21" i="3" l="1"/>
  <c r="H27" i="3"/>
  <c r="H30" i="3"/>
  <c r="J24" i="3"/>
  <c r="H16" i="3"/>
  <c r="H19" i="3"/>
  <c r="H25" i="3"/>
  <c r="H28" i="3"/>
  <c r="J22" i="3"/>
  <c r="H17" i="3"/>
  <c r="H29" i="3"/>
  <c r="H18" i="3"/>
  <c r="H20" i="3"/>
  <c r="H23" i="3"/>
  <c r="H26" i="3"/>
</calcChain>
</file>

<file path=xl/sharedStrings.xml><?xml version="1.0" encoding="utf-8"?>
<sst xmlns="http://schemas.openxmlformats.org/spreadsheetml/2006/main" count="68" uniqueCount="18">
  <si>
    <t>nu</t>
  </si>
  <si>
    <t>I</t>
  </si>
  <si>
    <t>U</t>
  </si>
  <si>
    <t>e</t>
  </si>
  <si>
    <t>I_n</t>
  </si>
  <si>
    <t>1/e2</t>
  </si>
  <si>
    <t>nu2</t>
  </si>
  <si>
    <t>x0</t>
  </si>
  <si>
    <t>x</t>
  </si>
  <si>
    <t>phi</t>
  </si>
  <si>
    <t>tanphi</t>
  </si>
  <si>
    <t>sqnu</t>
  </si>
  <si>
    <t>phi - pi/4</t>
  </si>
  <si>
    <t>phi-pi/4</t>
  </si>
  <si>
    <t>L</t>
  </si>
  <si>
    <t>q</t>
  </si>
  <si>
    <t>e0</t>
  </si>
  <si>
    <t>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</si>
</sst>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Errors!$A$52:$A$69</c:f>
              <c:numCache>
                <c:formatCode>General</c:formatCode>
                <c:ptCount val="1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</c:numCache>
            </c:numRef>
          </c:xVal>
          <c:yVal>
            <c:numRef>
              <c:f>Errors!$B$52:$B$69</c:f>
              <c:numCache>
                <c:formatCode>General</c:formatCode>
                <c:ptCount val="18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70-4190-9611-3F71CC382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51167"/>
        <c:axId val="233658367"/>
      </c:scatterChart>
      <c:valAx>
        <c:axId val="23365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58367"/>
        <c:crosses val="autoZero"/>
        <c:crossBetween val="midCat"/>
      </c:valAx>
      <c:valAx>
        <c:axId val="23365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51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Errors!$C$52:$C$59</c:f>
              <c:numCache>
                <c:formatCode>General</c:formatCode>
                <c:ptCount val="8"/>
                <c:pt idx="0">
                  <c:v>8.000000661922968</c:v>
                </c:pt>
                <c:pt idx="1">
                  <c:v>30.000034409264721</c:v>
                </c:pt>
                <c:pt idx="2">
                  <c:v>49.999973271042109</c:v>
                </c:pt>
                <c:pt idx="3">
                  <c:v>60.000068818529442</c:v>
                </c:pt>
                <c:pt idx="4">
                  <c:v>79.999954323284328</c:v>
                </c:pt>
                <c:pt idx="5">
                  <c:v>99.999946542084217</c:v>
                </c:pt>
                <c:pt idx="6">
                  <c:v>120.00013763705888</c:v>
                </c:pt>
                <c:pt idx="7">
                  <c:v>159.99990864656866</c:v>
                </c:pt>
              </c:numCache>
            </c:numRef>
          </c:xVal>
          <c:yVal>
            <c:numRef>
              <c:f>Errors!$D$52:$D$59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83-493B-A87D-6E19B6204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57407"/>
        <c:axId val="233657887"/>
      </c:scatterChart>
      <c:valAx>
        <c:axId val="233657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57887"/>
        <c:crosses val="autoZero"/>
        <c:crossBetween val="midCat"/>
      </c:valAx>
      <c:valAx>
        <c:axId val="23365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57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Errors!$A$52:$A$69</c:f>
              <c:numCache>
                <c:formatCode>General</c:formatCode>
                <c:ptCount val="1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</c:numCache>
            </c:numRef>
          </c:xVal>
          <c:yVal>
            <c:numRef>
              <c:f>Errors!$B$52:$B$69</c:f>
              <c:numCache>
                <c:formatCode>General</c:formatCode>
                <c:ptCount val="18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25-4DED-9F91-FEB5F6E9E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51167"/>
        <c:axId val="233658367"/>
      </c:scatterChart>
      <c:valAx>
        <c:axId val="23365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58367"/>
        <c:crosses val="autoZero"/>
        <c:crossBetween val="midCat"/>
      </c:valAx>
      <c:valAx>
        <c:axId val="23365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51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Errors!$C$52:$C$59</c:f>
              <c:numCache>
                <c:formatCode>General</c:formatCode>
                <c:ptCount val="8"/>
                <c:pt idx="0">
                  <c:v>8.000000661922968</c:v>
                </c:pt>
                <c:pt idx="1">
                  <c:v>30.000034409264721</c:v>
                </c:pt>
                <c:pt idx="2">
                  <c:v>49.999973271042109</c:v>
                </c:pt>
                <c:pt idx="3">
                  <c:v>60.000068818529442</c:v>
                </c:pt>
                <c:pt idx="4">
                  <c:v>79.999954323284328</c:v>
                </c:pt>
                <c:pt idx="5">
                  <c:v>99.999946542084217</c:v>
                </c:pt>
                <c:pt idx="6">
                  <c:v>120.00013763705888</c:v>
                </c:pt>
                <c:pt idx="7">
                  <c:v>159.99990864656866</c:v>
                </c:pt>
              </c:numCache>
            </c:numRef>
          </c:xVal>
          <c:yVal>
            <c:numRef>
              <c:f>Errors!$D$52:$D$59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98-4720-B970-703EA4D7D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57407"/>
        <c:axId val="233657887"/>
      </c:scatterChart>
      <c:valAx>
        <c:axId val="233657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57887"/>
        <c:crosses val="autoZero"/>
        <c:crossBetween val="midCat"/>
      </c:valAx>
      <c:valAx>
        <c:axId val="23365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57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164856</xdr:colOff>
      <xdr:row>53</xdr:row>
      <xdr:rowOff>38833</xdr:rowOff>
    </xdr:from>
    <xdr:to>
      <xdr:col>20</xdr:col>
      <xdr:colOff>479914</xdr:colOff>
      <xdr:row>68</xdr:row>
      <xdr:rowOff>34437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9B35AA3-22BD-483A-A05E-44C96CEBF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238125</xdr:colOff>
      <xdr:row>53</xdr:row>
      <xdr:rowOff>9524</xdr:rowOff>
    </xdr:from>
    <xdr:to>
      <xdr:col>12</xdr:col>
      <xdr:colOff>553183</xdr:colOff>
      <xdr:row>68</xdr:row>
      <xdr:rowOff>5128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EE17B71-2B7A-4962-A979-1BC61FA612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164856</xdr:colOff>
      <xdr:row>53</xdr:row>
      <xdr:rowOff>38833</xdr:rowOff>
    </xdr:from>
    <xdr:to>
      <xdr:col>20</xdr:col>
      <xdr:colOff>479914</xdr:colOff>
      <xdr:row>68</xdr:row>
      <xdr:rowOff>34437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8C047777-9ACA-9AFE-A883-3A0741F24B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238125</xdr:colOff>
      <xdr:row>53</xdr:row>
      <xdr:rowOff>9524</xdr:rowOff>
    </xdr:from>
    <xdr:to>
      <xdr:col>12</xdr:col>
      <xdr:colOff>553183</xdr:colOff>
      <xdr:row>68</xdr:row>
      <xdr:rowOff>5128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93449709-D30F-2EB9-1227-2CD1AD0994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E60FA-4146-4242-B4C6-4E4E219DB39D}">
  <sheetPr codeName="Лист1"/>
  <dimension ref="A1:O69"/>
  <sheetViews>
    <sheetView tabSelected="1" topLeftCell="A21" zoomScale="113" workbookViewId="0">
      <selection activeCell="O2" sqref="O2:O44"/>
    </sheetView>
  </sheetViews>
  <sheetFormatPr defaultRowHeight="14.4" x14ac:dyDescent="0.3"/>
  <sheetData>
    <row r="1" spans="1:15" x14ac:dyDescent="0.3">
      <c r="A1" t="s">
        <v>0</v>
      </c>
      <c r="B1" t="s">
        <v>1</v>
      </c>
      <c r="C1" t="s">
        <v>2</v>
      </c>
      <c r="D1" t="s">
        <v>4</v>
      </c>
      <c r="E1" t="s">
        <v>3</v>
      </c>
      <c r="F1" s="1" t="s">
        <v>5</v>
      </c>
      <c r="G1" t="s">
        <v>6</v>
      </c>
      <c r="M1" t="s">
        <v>0</v>
      </c>
      <c r="N1" t="s">
        <v>3</v>
      </c>
      <c r="O1" t="s">
        <v>17</v>
      </c>
    </row>
    <row r="2" spans="1:15" x14ac:dyDescent="0.3">
      <c r="A2">
        <v>22.5</v>
      </c>
      <c r="B2">
        <v>458.6</v>
      </c>
      <c r="C2">
        <v>0.161</v>
      </c>
      <c r="D2">
        <f>B2/1000</f>
        <v>0.45860000000000001</v>
      </c>
      <c r="E2">
        <f>C2/D2/A2</f>
        <v>1.5603043077966759E-2</v>
      </c>
      <c r="F2">
        <f>1/E2^2</f>
        <v>4107.5360614945412</v>
      </c>
      <c r="G2">
        <f>A2^2</f>
        <v>506.25</v>
      </c>
      <c r="J2" t="s">
        <v>16</v>
      </c>
      <c r="M2">
        <f>A2</f>
        <v>22.5</v>
      </c>
      <c r="N2">
        <f>E2/0.0157</f>
        <v>0.9938243998704942</v>
      </c>
      <c r="O2">
        <f>N2*(0.0006/0.0157+Errors!E2/Values!E2)</f>
        <v>8.8223554370629731E-2</v>
      </c>
    </row>
    <row r="3" spans="1:15" x14ac:dyDescent="0.3">
      <c r="A3">
        <v>31.5</v>
      </c>
      <c r="B3">
        <v>455.4</v>
      </c>
      <c r="C3">
        <v>0.222</v>
      </c>
      <c r="D3">
        <f t="shared" ref="D3:D13" si="0">B3/1000</f>
        <v>0.45539999999999997</v>
      </c>
      <c r="E3">
        <f t="shared" ref="E3:E13" si="1">C3/D3/A3</f>
        <v>1.5475667649580695E-2</v>
      </c>
      <c r="F3">
        <f t="shared" ref="F3:F13" si="2">1/E3^2</f>
        <v>4175.4300383491591</v>
      </c>
      <c r="G3">
        <f t="shared" ref="G3:G13" si="3">A3^2</f>
        <v>992.25</v>
      </c>
      <c r="J3">
        <v>1.5699999999999999E-2</v>
      </c>
      <c r="M3">
        <f t="shared" ref="M3:M13" si="4">A3</f>
        <v>31.5</v>
      </c>
      <c r="N3">
        <f t="shared" ref="N3:N13" si="5">E3/$J$3</f>
        <v>0.98571131525991695</v>
      </c>
      <c r="O3">
        <f>N3*(0.0006/0.0157+Errors!E3/Values!E3)</f>
        <v>5.6423259686013964E-2</v>
      </c>
    </row>
    <row r="4" spans="1:15" x14ac:dyDescent="0.3">
      <c r="A4">
        <v>40.5</v>
      </c>
      <c r="B4">
        <v>451</v>
      </c>
      <c r="C4">
        <v>0.27900000000000003</v>
      </c>
      <c r="D4">
        <f t="shared" si="0"/>
        <v>0.45100000000000001</v>
      </c>
      <c r="E4">
        <f t="shared" si="1"/>
        <v>1.527469820152747E-2</v>
      </c>
      <c r="F4">
        <f t="shared" si="2"/>
        <v>4286.0252341311134</v>
      </c>
      <c r="G4">
        <f t="shared" si="3"/>
        <v>1640.25</v>
      </c>
      <c r="M4">
        <f t="shared" si="4"/>
        <v>40.5</v>
      </c>
      <c r="N4">
        <f t="shared" si="5"/>
        <v>0.97291071347308733</v>
      </c>
      <c r="O4">
        <f>N4*(0.0006/0.0157+Errors!E4/Values!E4)</f>
        <v>4.6332279800506436E-2</v>
      </c>
    </row>
    <row r="5" spans="1:15" x14ac:dyDescent="0.3">
      <c r="A5">
        <v>49.5</v>
      </c>
      <c r="B5">
        <v>445.7</v>
      </c>
      <c r="C5">
        <v>0.33300000000000002</v>
      </c>
      <c r="D5">
        <f t="shared" si="0"/>
        <v>0.44569999999999999</v>
      </c>
      <c r="E5">
        <f t="shared" si="1"/>
        <v>1.5093723866440941E-2</v>
      </c>
      <c r="F5">
        <f t="shared" si="2"/>
        <v>4389.4206154127096</v>
      </c>
      <c r="G5">
        <f t="shared" si="3"/>
        <v>2450.25</v>
      </c>
      <c r="M5">
        <f t="shared" si="4"/>
        <v>49.5</v>
      </c>
      <c r="N5">
        <f t="shared" si="5"/>
        <v>0.96138368576056965</v>
      </c>
      <c r="O5">
        <f>N5*(0.0006/0.0157+Errors!E5/Values!E5)</f>
        <v>4.1938735855409824E-2</v>
      </c>
    </row>
    <row r="6" spans="1:15" x14ac:dyDescent="0.3">
      <c r="A6">
        <v>58.5</v>
      </c>
      <c r="B6">
        <v>439.9</v>
      </c>
      <c r="C6">
        <v>0.38200000000000001</v>
      </c>
      <c r="D6">
        <f t="shared" si="0"/>
        <v>0.43989999999999996</v>
      </c>
      <c r="E6">
        <f t="shared" si="1"/>
        <v>1.4844088497191477E-2</v>
      </c>
      <c r="F6">
        <f t="shared" si="2"/>
        <v>4538.2971699137897</v>
      </c>
      <c r="G6">
        <f t="shared" si="3"/>
        <v>3422.25</v>
      </c>
      <c r="M6">
        <f t="shared" si="4"/>
        <v>58.5</v>
      </c>
      <c r="N6">
        <f t="shared" si="5"/>
        <v>0.94548334377015786</v>
      </c>
      <c r="O6">
        <f>N6*(0.0006/0.0157+Errors!E6/Values!E6)</f>
        <v>3.9434687607806121E-2</v>
      </c>
    </row>
    <row r="7" spans="1:15" x14ac:dyDescent="0.3">
      <c r="A7">
        <v>67.5</v>
      </c>
      <c r="B7">
        <v>433.7</v>
      </c>
      <c r="C7">
        <v>0.42699999999999999</v>
      </c>
      <c r="D7">
        <f t="shared" si="0"/>
        <v>0.43369999999999997</v>
      </c>
      <c r="E7">
        <f t="shared" si="1"/>
        <v>1.4585948641747582E-2</v>
      </c>
      <c r="F7">
        <f t="shared" si="2"/>
        <v>4700.3547848257813</v>
      </c>
      <c r="G7">
        <f t="shared" si="3"/>
        <v>4556.25</v>
      </c>
      <c r="M7">
        <f t="shared" si="4"/>
        <v>67.5</v>
      </c>
      <c r="N7">
        <f t="shared" si="5"/>
        <v>0.9290413147609925</v>
      </c>
      <c r="O7">
        <f>N7*(0.0006/0.0157+Errors!E7/Values!E7)</f>
        <v>3.7764636892002365E-2</v>
      </c>
    </row>
    <row r="8" spans="1:15" x14ac:dyDescent="0.3">
      <c r="A8">
        <v>76.5</v>
      </c>
      <c r="B8">
        <v>427.4</v>
      </c>
      <c r="C8">
        <v>0.46800000000000003</v>
      </c>
      <c r="D8">
        <f t="shared" si="0"/>
        <v>0.4274</v>
      </c>
      <c r="E8">
        <f t="shared" si="1"/>
        <v>1.4313633736133667E-2</v>
      </c>
      <c r="F8">
        <f t="shared" si="2"/>
        <v>4880.9032581360952</v>
      </c>
      <c r="G8">
        <f t="shared" si="3"/>
        <v>5852.25</v>
      </c>
      <c r="M8">
        <f t="shared" si="4"/>
        <v>76.5</v>
      </c>
      <c r="N8">
        <f t="shared" si="5"/>
        <v>0.91169641631424636</v>
      </c>
      <c r="O8">
        <f>N8*(0.0006/0.0157+Errors!E8/Values!E8)</f>
        <v>3.6479364116013331E-2</v>
      </c>
    </row>
    <row r="9" spans="1:15" x14ac:dyDescent="0.3">
      <c r="A9">
        <v>85.5</v>
      </c>
      <c r="B9">
        <v>421.1</v>
      </c>
      <c r="C9">
        <v>0.505</v>
      </c>
      <c r="D9">
        <f t="shared" si="0"/>
        <v>0.42110000000000003</v>
      </c>
      <c r="E9">
        <f t="shared" si="1"/>
        <v>1.4026199830296867E-2</v>
      </c>
      <c r="F9">
        <f t="shared" si="2"/>
        <v>5082.9982017547318</v>
      </c>
      <c r="G9">
        <f t="shared" si="3"/>
        <v>7310.25</v>
      </c>
      <c r="M9">
        <f t="shared" si="4"/>
        <v>85.5</v>
      </c>
      <c r="N9">
        <f t="shared" si="5"/>
        <v>0.89338852422273052</v>
      </c>
      <c r="O9">
        <f>N9*(0.0006/0.0157+Errors!E9/Values!E9)</f>
        <v>3.5383269353299884E-2</v>
      </c>
    </row>
    <row r="10" spans="1:15" x14ac:dyDescent="0.3">
      <c r="A10">
        <v>94.5</v>
      </c>
      <c r="B10">
        <v>414.7</v>
      </c>
      <c r="C10">
        <v>0.53800000000000003</v>
      </c>
      <c r="D10">
        <f t="shared" si="0"/>
        <v>0.41470000000000001</v>
      </c>
      <c r="E10">
        <f t="shared" si="1"/>
        <v>1.3728289590358557E-2</v>
      </c>
      <c r="F10">
        <f t="shared" si="2"/>
        <v>5305.9986654499653</v>
      </c>
      <c r="G10">
        <f t="shared" si="3"/>
        <v>8930.25</v>
      </c>
      <c r="M10">
        <f t="shared" si="4"/>
        <v>94.5</v>
      </c>
      <c r="N10">
        <f t="shared" si="5"/>
        <v>0.87441334970436668</v>
      </c>
      <c r="O10">
        <f>N10*(0.0006/0.0157+Errors!E10/Values!E10)</f>
        <v>3.4392403337487859E-2</v>
      </c>
    </row>
    <row r="11" spans="1:15" x14ac:dyDescent="0.3">
      <c r="A11">
        <v>103.5</v>
      </c>
      <c r="B11">
        <v>408.8</v>
      </c>
      <c r="C11">
        <v>0.56799999999999995</v>
      </c>
      <c r="D11">
        <f t="shared" si="0"/>
        <v>0.4088</v>
      </c>
      <c r="E11">
        <f t="shared" si="1"/>
        <v>1.3424468457226049E-2</v>
      </c>
      <c r="F11">
        <f t="shared" si="2"/>
        <v>5548.8859993056949</v>
      </c>
      <c r="G11">
        <f t="shared" si="3"/>
        <v>10712.25</v>
      </c>
      <c r="M11">
        <f t="shared" si="4"/>
        <v>103.5</v>
      </c>
      <c r="N11">
        <f t="shared" si="5"/>
        <v>0.85506168517363379</v>
      </c>
      <c r="O11">
        <f>N11*(0.0006/0.0157+Errors!E11/Values!E11)</f>
        <v>3.3465953592048833E-2</v>
      </c>
    </row>
    <row r="12" spans="1:15" x14ac:dyDescent="0.3">
      <c r="A12">
        <v>112.5</v>
      </c>
      <c r="B12">
        <v>403.1</v>
      </c>
      <c r="C12">
        <v>0.59399999999999997</v>
      </c>
      <c r="D12">
        <f t="shared" si="0"/>
        <v>0.40310000000000001</v>
      </c>
      <c r="E12">
        <f t="shared" si="1"/>
        <v>1.3098486727859092E-2</v>
      </c>
      <c r="F12">
        <f t="shared" si="2"/>
        <v>5828.5127553948578</v>
      </c>
      <c r="G12">
        <f t="shared" si="3"/>
        <v>12656.25</v>
      </c>
      <c r="M12">
        <f t="shared" si="4"/>
        <v>112.5</v>
      </c>
      <c r="N12">
        <f t="shared" si="5"/>
        <v>0.83429851769803143</v>
      </c>
      <c r="O12">
        <f>N12*(0.0006/0.0157+Errors!E12/Values!E12)</f>
        <v>3.2538722775920681E-2</v>
      </c>
    </row>
    <row r="13" spans="1:15" x14ac:dyDescent="0.3">
      <c r="A13">
        <v>121.5</v>
      </c>
      <c r="B13">
        <v>397.7</v>
      </c>
      <c r="C13">
        <v>0.61699999999999999</v>
      </c>
      <c r="D13">
        <f t="shared" si="0"/>
        <v>0.3977</v>
      </c>
      <c r="E13">
        <f t="shared" si="1"/>
        <v>1.2768894393793116E-2</v>
      </c>
      <c r="F13">
        <f t="shared" si="2"/>
        <v>6133.2887272878925</v>
      </c>
      <c r="G13">
        <f t="shared" si="3"/>
        <v>14762.25</v>
      </c>
      <c r="M13">
        <f t="shared" si="4"/>
        <v>121.5</v>
      </c>
      <c r="N13">
        <f t="shared" si="5"/>
        <v>0.81330537540083547</v>
      </c>
      <c r="O13">
        <f>N13*(0.0006/0.0157+Errors!E13/Values!E13)</f>
        <v>3.1636640782682725E-2</v>
      </c>
    </row>
    <row r="14" spans="1:15" x14ac:dyDescent="0.3">
      <c r="M14">
        <f>A16</f>
        <v>121.5</v>
      </c>
      <c r="N14">
        <f>K16/0.0157</f>
        <v>0.81609126899787787</v>
      </c>
      <c r="O14">
        <f>N14*(0.0006/0.0157+Errors!K16/Values!K16)</f>
        <v>3.1742153767876306E-2</v>
      </c>
    </row>
    <row r="15" spans="1:15" x14ac:dyDescent="0.3">
      <c r="A15" t="s">
        <v>0</v>
      </c>
      <c r="B15" t="s">
        <v>1</v>
      </c>
      <c r="C15" t="s">
        <v>2</v>
      </c>
      <c r="D15" t="s">
        <v>4</v>
      </c>
      <c r="E15" t="s">
        <v>7</v>
      </c>
      <c r="F15" s="1" t="s">
        <v>8</v>
      </c>
      <c r="G15" t="s">
        <v>9</v>
      </c>
      <c r="H15" t="s">
        <v>10</v>
      </c>
      <c r="I15" t="s">
        <v>11</v>
      </c>
      <c r="J15" t="s">
        <v>13</v>
      </c>
      <c r="K15" t="s">
        <v>3</v>
      </c>
      <c r="M15">
        <f t="shared" ref="M15:M28" si="6">A17</f>
        <v>139.5</v>
      </c>
      <c r="N15">
        <f t="shared" ref="N15:N29" si="7">K17/0.0157</f>
        <v>0.77636823154690182</v>
      </c>
      <c r="O15">
        <f>N15*(0.0006/0.0157+Errors!K17/Values!K17)</f>
        <v>3.0085781160553632E-2</v>
      </c>
    </row>
    <row r="16" spans="1:15" x14ac:dyDescent="0.3">
      <c r="A16">
        <v>121.5</v>
      </c>
      <c r="B16">
        <v>395.7</v>
      </c>
      <c r="C16">
        <v>0.61599999999999999</v>
      </c>
      <c r="D16">
        <f>B16/1000</f>
        <v>0.3957</v>
      </c>
      <c r="E16">
        <v>4.2</v>
      </c>
      <c r="F16">
        <v>2.8</v>
      </c>
      <c r="G16">
        <f>F16/E16*PI() -PI()/2</f>
        <v>0.5235987755982987</v>
      </c>
      <c r="H16">
        <f>TAN(G16)</f>
        <v>0.57735026918962551</v>
      </c>
      <c r="I16">
        <f>A16^0.5</f>
        <v>11.022703842524301</v>
      </c>
      <c r="J16">
        <f t="shared" ref="J16:J30" si="8">G16-PI()/4</f>
        <v>-0.26179938779914957</v>
      </c>
      <c r="K16">
        <f>C16/D16/A16</f>
        <v>1.2812632923266681E-2</v>
      </c>
      <c r="M16">
        <f t="shared" si="6"/>
        <v>157.5</v>
      </c>
      <c r="N16">
        <f t="shared" si="7"/>
        <v>0.73674974485214217</v>
      </c>
      <c r="O16">
        <f>N16*(0.0006/0.0157+Errors!K18/Values!K18)</f>
        <v>2.8484781340448399E-2</v>
      </c>
    </row>
    <row r="17" spans="1:15" x14ac:dyDescent="0.3">
      <c r="A17">
        <v>139.5</v>
      </c>
      <c r="B17">
        <v>385.8</v>
      </c>
      <c r="C17">
        <v>0.65600000000000003</v>
      </c>
      <c r="D17">
        <f t="shared" ref="D17:D30" si="9">B17/1000</f>
        <v>0.38580000000000003</v>
      </c>
      <c r="E17">
        <v>4.5999999999999996</v>
      </c>
      <c r="F17">
        <v>2.6</v>
      </c>
      <c r="G17">
        <f t="shared" ref="G17:G30" si="10">F17/E17*PI() -PI()/2</f>
        <v>0.20488647740803012</v>
      </c>
      <c r="H17">
        <f t="shared" ref="H17:H30" si="11">TAN(G17)</f>
        <v>0.20780238961318712</v>
      </c>
      <c r="I17">
        <f t="shared" ref="I17:I30" si="12">A17^0.5</f>
        <v>11.811011811017716</v>
      </c>
      <c r="J17">
        <f t="shared" si="8"/>
        <v>-0.58051168598941816</v>
      </c>
      <c r="K17">
        <f t="shared" ref="K17:K30" si="13">C17/D17/A17</f>
        <v>1.2188981235286358E-2</v>
      </c>
      <c r="M17">
        <f t="shared" si="6"/>
        <v>175.5</v>
      </c>
      <c r="N17">
        <f t="shared" si="7"/>
        <v>0.69934065779717081</v>
      </c>
      <c r="O17">
        <f>N17*(0.0006/0.0157+Errors!K19/Values!K19)</f>
        <v>2.699600637016264E-2</v>
      </c>
    </row>
    <row r="18" spans="1:15" x14ac:dyDescent="0.3">
      <c r="A18">
        <v>157.5</v>
      </c>
      <c r="B18">
        <v>377.1</v>
      </c>
      <c r="C18">
        <v>0.68700000000000006</v>
      </c>
      <c r="D18">
        <f t="shared" si="9"/>
        <v>0.37710000000000005</v>
      </c>
      <c r="E18">
        <v>3.2</v>
      </c>
      <c r="F18">
        <v>2.4</v>
      </c>
      <c r="G18">
        <f t="shared" si="10"/>
        <v>0.78539816339744783</v>
      </c>
      <c r="H18">
        <f t="shared" si="11"/>
        <v>0.999999999999999</v>
      </c>
      <c r="I18">
        <f t="shared" si="12"/>
        <v>12.549900398011133</v>
      </c>
      <c r="J18">
        <f t="shared" si="8"/>
        <v>0</v>
      </c>
      <c r="K18">
        <f t="shared" si="13"/>
        <v>1.1566970994178631E-2</v>
      </c>
      <c r="M18">
        <f t="shared" si="6"/>
        <v>193.5</v>
      </c>
      <c r="N18">
        <f t="shared" si="7"/>
        <v>0.66396240764578829</v>
      </c>
      <c r="O18">
        <f>N18*(0.0006/0.0157+Errors!K20/Values!K20)</f>
        <v>2.5601943765069357E-2</v>
      </c>
    </row>
    <row r="19" spans="1:15" x14ac:dyDescent="0.3">
      <c r="A19">
        <v>175.5</v>
      </c>
      <c r="B19">
        <v>369.5</v>
      </c>
      <c r="C19">
        <v>0.71199999999999997</v>
      </c>
      <c r="D19">
        <f t="shared" si="9"/>
        <v>0.3695</v>
      </c>
      <c r="E19">
        <v>5.8</v>
      </c>
      <c r="F19">
        <v>4.4000000000000004</v>
      </c>
      <c r="G19">
        <f t="shared" si="10"/>
        <v>0.81248085868701558</v>
      </c>
      <c r="H19">
        <f t="shared" si="11"/>
        <v>1.0556871647587993</v>
      </c>
      <c r="I19">
        <f t="shared" si="12"/>
        <v>13.24764129949177</v>
      </c>
      <c r="J19">
        <f t="shared" si="8"/>
        <v>2.7082695289567305E-2</v>
      </c>
      <c r="K19">
        <f t="shared" si="13"/>
        <v>1.0979648327415581E-2</v>
      </c>
      <c r="M19">
        <f t="shared" si="6"/>
        <v>200</v>
      </c>
      <c r="N19">
        <f t="shared" si="7"/>
        <v>0.66746024239157797</v>
      </c>
      <c r="O19">
        <f>N19*(0.0006/0.0157+Errors!K21/Values!K21)</f>
        <v>2.5715736205792369E-2</v>
      </c>
    </row>
    <row r="20" spans="1:15" x14ac:dyDescent="0.3">
      <c r="A20">
        <v>193.5</v>
      </c>
      <c r="B20">
        <v>362.9</v>
      </c>
      <c r="C20">
        <v>0.73199999999999998</v>
      </c>
      <c r="D20">
        <f t="shared" si="9"/>
        <v>0.3629</v>
      </c>
      <c r="E20">
        <v>5.2</v>
      </c>
      <c r="F20">
        <v>4</v>
      </c>
      <c r="G20">
        <f t="shared" si="10"/>
        <v>0.84581340673571326</v>
      </c>
      <c r="H20">
        <f t="shared" si="11"/>
        <v>1.1287666600879427</v>
      </c>
      <c r="I20">
        <f t="shared" si="12"/>
        <v>13.910427743243556</v>
      </c>
      <c r="J20">
        <f t="shared" si="8"/>
        <v>6.0415243338264979E-2</v>
      </c>
      <c r="K20">
        <f t="shared" si="13"/>
        <v>1.0424209800038876E-2</v>
      </c>
      <c r="M20">
        <f t="shared" si="6"/>
        <v>212.5</v>
      </c>
      <c r="N20">
        <f t="shared" si="7"/>
        <v>0.61326987624392559</v>
      </c>
      <c r="O20">
        <f>N20*(0.0006/0.0157+Errors!K22/Values!K22)</f>
        <v>2.3639801269683826E-2</v>
      </c>
    </row>
    <row r="21" spans="1:15" x14ac:dyDescent="0.3">
      <c r="A21">
        <v>200</v>
      </c>
      <c r="B21">
        <v>356.9</v>
      </c>
      <c r="C21">
        <v>0.748</v>
      </c>
      <c r="D21">
        <f t="shared" si="9"/>
        <v>0.3569</v>
      </c>
      <c r="E21">
        <v>5</v>
      </c>
      <c r="F21">
        <v>4</v>
      </c>
      <c r="G21">
        <f>F21/E21*PI() -PI()/2</f>
        <v>0.94247779607693793</v>
      </c>
      <c r="H21">
        <f>TAN(G21)</f>
        <v>1.3763819204711734</v>
      </c>
      <c r="I21">
        <f t="shared" si="12"/>
        <v>14.142135623730951</v>
      </c>
      <c r="J21">
        <f t="shared" si="8"/>
        <v>0.15707963267948966</v>
      </c>
      <c r="K21">
        <f t="shared" si="13"/>
        <v>1.0479125805547773E-2</v>
      </c>
      <c r="M21">
        <f t="shared" si="6"/>
        <v>325</v>
      </c>
      <c r="N21">
        <f t="shared" si="7"/>
        <v>0.46648496246116294</v>
      </c>
      <c r="O21">
        <f>N21*(0.0006/0.0157+Errors!K23/Values!K23)</f>
        <v>1.793394321073984E-2</v>
      </c>
    </row>
    <row r="22" spans="1:15" x14ac:dyDescent="0.3">
      <c r="A22">
        <v>212.5</v>
      </c>
      <c r="B22">
        <v>360.7</v>
      </c>
      <c r="C22">
        <v>0.73799999999999999</v>
      </c>
      <c r="D22">
        <f t="shared" si="9"/>
        <v>0.36069999999999997</v>
      </c>
      <c r="E22">
        <v>4.7</v>
      </c>
      <c r="F22">
        <v>3.7</v>
      </c>
      <c r="G22">
        <f>F22/E22*PI() -PI()/2</f>
        <v>0.90237235794600457</v>
      </c>
      <c r="H22">
        <f>TAN(G22)</f>
        <v>1.2663162983301539</v>
      </c>
      <c r="I22">
        <f t="shared" si="12"/>
        <v>14.577379737113251</v>
      </c>
      <c r="J22">
        <f t="shared" si="8"/>
        <v>0.11697419454855629</v>
      </c>
      <c r="K22">
        <f t="shared" si="13"/>
        <v>9.6283370570296317E-3</v>
      </c>
      <c r="M22">
        <f>A24</f>
        <v>450</v>
      </c>
      <c r="N22">
        <f t="shared" si="7"/>
        <v>0.35518400566171265</v>
      </c>
      <c r="O22">
        <f>N22*(0.0006/0.0157+Errors!K24/Values!K24)</f>
        <v>1.3646343305858346E-2</v>
      </c>
    </row>
    <row r="23" spans="1:15" x14ac:dyDescent="0.3">
      <c r="A23">
        <v>325</v>
      </c>
      <c r="B23">
        <v>334</v>
      </c>
      <c r="C23">
        <v>0.79500000000000004</v>
      </c>
      <c r="D23">
        <f t="shared" si="9"/>
        <v>0.33400000000000002</v>
      </c>
      <c r="E23">
        <v>3.1</v>
      </c>
      <c r="F23">
        <v>2.6</v>
      </c>
      <c r="G23">
        <f t="shared" si="10"/>
        <v>1.0640878342804139</v>
      </c>
      <c r="H23">
        <f t="shared" si="11"/>
        <v>1.8016548121595219</v>
      </c>
      <c r="I23">
        <f t="shared" si="12"/>
        <v>18.027756377319946</v>
      </c>
      <c r="J23">
        <f t="shared" si="8"/>
        <v>0.27868967088296559</v>
      </c>
      <c r="K23">
        <f t="shared" si="13"/>
        <v>7.3238139106402578E-3</v>
      </c>
      <c r="M23">
        <f t="shared" si="6"/>
        <v>575</v>
      </c>
      <c r="N23">
        <f t="shared" si="7"/>
        <v>0.28525296739589012</v>
      </c>
      <c r="O23">
        <f>N23*(0.0006/0.0157+Errors!K25/Values!K25)</f>
        <v>1.0957126167289727E-2</v>
      </c>
    </row>
    <row r="24" spans="1:15" x14ac:dyDescent="0.3">
      <c r="A24">
        <v>450</v>
      </c>
      <c r="B24">
        <v>320</v>
      </c>
      <c r="C24">
        <v>0.80300000000000005</v>
      </c>
      <c r="D24">
        <f t="shared" si="9"/>
        <v>0.32</v>
      </c>
      <c r="E24">
        <v>5.6</v>
      </c>
      <c r="F24">
        <v>5.0999999999999996</v>
      </c>
      <c r="G24">
        <f t="shared" si="10"/>
        <v>1.2902969827243793</v>
      </c>
      <c r="H24">
        <f t="shared" si="11"/>
        <v>3.4710768029698853</v>
      </c>
      <c r="I24">
        <f t="shared" si="12"/>
        <v>21.213203435596427</v>
      </c>
      <c r="J24">
        <f t="shared" si="8"/>
        <v>0.50489881932693104</v>
      </c>
      <c r="K24">
        <f t="shared" si="13"/>
        <v>5.5763888888888885E-3</v>
      </c>
      <c r="M24">
        <f>A26</f>
        <v>700</v>
      </c>
      <c r="N24">
        <f>K26/0.0157</f>
        <v>0.23748862602365792</v>
      </c>
      <c r="O24">
        <f>N24*(0.0006/0.0157+Errors!K26/Values!K26)</f>
        <v>9.122017338571457E-3</v>
      </c>
    </row>
    <row r="25" spans="1:15" x14ac:dyDescent="0.3">
      <c r="A25">
        <v>575</v>
      </c>
      <c r="B25">
        <v>309.5</v>
      </c>
      <c r="C25">
        <v>0.79700000000000004</v>
      </c>
      <c r="D25">
        <f t="shared" si="9"/>
        <v>0.3095</v>
      </c>
      <c r="E25">
        <v>4.4000000000000004</v>
      </c>
      <c r="F25">
        <v>4.0999999999999996</v>
      </c>
      <c r="G25">
        <f t="shared" si="10"/>
        <v>1.3565968276865012</v>
      </c>
      <c r="H25">
        <f t="shared" si="11"/>
        <v>4.5969258105408031</v>
      </c>
      <c r="I25">
        <f t="shared" si="12"/>
        <v>23.979157616563597</v>
      </c>
      <c r="J25">
        <f t="shared" si="8"/>
        <v>0.57119866428905297</v>
      </c>
      <c r="K25">
        <f t="shared" si="13"/>
        <v>4.4784715881154742E-3</v>
      </c>
      <c r="M25">
        <f t="shared" si="6"/>
        <v>825</v>
      </c>
      <c r="N25">
        <f t="shared" si="7"/>
        <v>0.20297574665651255</v>
      </c>
      <c r="O25">
        <f>N25*(0.0006/0.0157+Errors!K27/Values!K27)</f>
        <v>7.7967801847052655E-3</v>
      </c>
    </row>
    <row r="26" spans="1:15" x14ac:dyDescent="0.3">
      <c r="A26">
        <v>700</v>
      </c>
      <c r="B26">
        <v>300</v>
      </c>
      <c r="C26">
        <v>0.78300000000000003</v>
      </c>
      <c r="D26">
        <f t="shared" si="9"/>
        <v>0.3</v>
      </c>
      <c r="E26">
        <v>3.6</v>
      </c>
      <c r="F26">
        <v>3.4</v>
      </c>
      <c r="G26">
        <f t="shared" si="10"/>
        <v>1.3962634015954634</v>
      </c>
      <c r="H26">
        <f t="shared" si="11"/>
        <v>5.6712818196176995</v>
      </c>
      <c r="I26">
        <f t="shared" si="12"/>
        <v>26.457513110645905</v>
      </c>
      <c r="J26">
        <f t="shared" si="8"/>
        <v>0.61086523819801508</v>
      </c>
      <c r="K26">
        <f t="shared" si="13"/>
        <v>3.7285714285714292E-3</v>
      </c>
      <c r="M26">
        <f t="shared" si="6"/>
        <v>950</v>
      </c>
      <c r="N26">
        <f t="shared" si="7"/>
        <v>0.17715370503979641</v>
      </c>
      <c r="O26">
        <f>N26*(0.0006/0.0157+Errors!K28/Values!K28)</f>
        <v>6.8055302029328413E-3</v>
      </c>
    </row>
    <row r="27" spans="1:15" x14ac:dyDescent="0.3">
      <c r="A27">
        <v>825</v>
      </c>
      <c r="B27">
        <v>290.60000000000002</v>
      </c>
      <c r="C27">
        <v>0.76400000000000001</v>
      </c>
      <c r="D27">
        <f t="shared" si="9"/>
        <v>0.29060000000000002</v>
      </c>
      <c r="E27">
        <v>3</v>
      </c>
      <c r="F27">
        <v>3</v>
      </c>
      <c r="G27">
        <f t="shared" si="10"/>
        <v>1.5707963267948966</v>
      </c>
      <c r="H27">
        <f t="shared" si="11"/>
        <v>1.6324552277619072E+16</v>
      </c>
      <c r="I27">
        <f t="shared" si="12"/>
        <v>28.722813232690143</v>
      </c>
      <c r="J27">
        <f t="shared" si="8"/>
        <v>0.78539816339744828</v>
      </c>
      <c r="K27">
        <f t="shared" si="13"/>
        <v>3.1867192225072468E-3</v>
      </c>
      <c r="M27">
        <f t="shared" si="6"/>
        <v>1075</v>
      </c>
      <c r="N27">
        <f t="shared" si="7"/>
        <v>0.15695491764281183</v>
      </c>
      <c r="O27">
        <f>N27*(0.0006/0.0157+Errors!K29/Values!K29)</f>
        <v>6.0304145988800276E-3</v>
      </c>
    </row>
    <row r="28" spans="1:15" x14ac:dyDescent="0.3">
      <c r="A28">
        <v>950</v>
      </c>
      <c r="B28">
        <v>281.2</v>
      </c>
      <c r="C28">
        <v>0.74299999999999999</v>
      </c>
      <c r="D28">
        <f t="shared" si="9"/>
        <v>0.28120000000000001</v>
      </c>
      <c r="E28">
        <v>5.2</v>
      </c>
      <c r="F28">
        <v>5.2</v>
      </c>
      <c r="G28">
        <f t="shared" si="10"/>
        <v>1.5707963267948966</v>
      </c>
      <c r="H28">
        <f t="shared" si="11"/>
        <v>1.6324552277619072E+16</v>
      </c>
      <c r="I28">
        <f t="shared" si="12"/>
        <v>30.822070014844883</v>
      </c>
      <c r="J28">
        <f t="shared" si="8"/>
        <v>0.78539816339744828</v>
      </c>
      <c r="K28">
        <f t="shared" si="13"/>
        <v>2.7813131691248032E-3</v>
      </c>
      <c r="M28">
        <f t="shared" si="6"/>
        <v>1200</v>
      </c>
      <c r="N28">
        <f t="shared" si="7"/>
        <v>0.14078763399098962</v>
      </c>
      <c r="O28">
        <f>N28*(0.0006/0.0157+Errors!K30/Values!K30)</f>
        <v>5.4101655831301533E-3</v>
      </c>
    </row>
    <row r="29" spans="1:15" x14ac:dyDescent="0.3">
      <c r="A29">
        <v>1075</v>
      </c>
      <c r="B29">
        <v>271.8</v>
      </c>
      <c r="C29">
        <v>0.72</v>
      </c>
      <c r="D29">
        <f t="shared" si="9"/>
        <v>0.27179999999999999</v>
      </c>
      <c r="E29">
        <v>5.7</v>
      </c>
      <c r="F29">
        <v>5.7</v>
      </c>
      <c r="G29">
        <f t="shared" si="10"/>
        <v>1.5707963267948966</v>
      </c>
      <c r="H29">
        <f t="shared" si="11"/>
        <v>1.6324552277619072E+16</v>
      </c>
      <c r="I29">
        <f t="shared" si="12"/>
        <v>32.787192621510002</v>
      </c>
      <c r="J29">
        <f t="shared" si="8"/>
        <v>0.78539816339744828</v>
      </c>
      <c r="K29">
        <f t="shared" si="13"/>
        <v>2.4641922069921457E-3</v>
      </c>
      <c r="M29">
        <f>A33</f>
        <v>1125</v>
      </c>
      <c r="N29">
        <f>I33/0.0157</f>
        <v>0.14982541909572444</v>
      </c>
      <c r="O29">
        <f>N29*(0.0006/0.0157+Errors!I33/Values!I33)</f>
        <v>5.7569836647583068E-3</v>
      </c>
    </row>
    <row r="30" spans="1:15" x14ac:dyDescent="0.3">
      <c r="A30">
        <v>1200</v>
      </c>
      <c r="B30">
        <v>262.39999999999998</v>
      </c>
      <c r="C30">
        <v>0.69599999999999995</v>
      </c>
      <c r="D30">
        <f t="shared" si="9"/>
        <v>0.26239999999999997</v>
      </c>
      <c r="E30">
        <v>4.2</v>
      </c>
      <c r="F30">
        <v>4.2</v>
      </c>
      <c r="G30">
        <f t="shared" si="10"/>
        <v>1.5707963267948966</v>
      </c>
      <c r="H30">
        <f t="shared" si="11"/>
        <v>1.6324552277619072E+16</v>
      </c>
      <c r="I30">
        <f t="shared" si="12"/>
        <v>34.641016151377549</v>
      </c>
      <c r="J30">
        <f t="shared" si="8"/>
        <v>0.78539816339744828</v>
      </c>
      <c r="K30">
        <f t="shared" si="13"/>
        <v>2.2103658536585368E-3</v>
      </c>
      <c r="M30">
        <f t="shared" ref="M30:M44" si="14">A34</f>
        <v>1405</v>
      </c>
      <c r="N30">
        <f t="shared" ref="N30:N47" si="15">I34/0.0157</f>
        <v>0.12034115894305845</v>
      </c>
      <c r="O30">
        <f>N30*(0.0006/0.0157+Errors!I34/Values!I34)</f>
        <v>4.6259194289857792E-3</v>
      </c>
    </row>
    <row r="31" spans="1:15" x14ac:dyDescent="0.3">
      <c r="M31">
        <f t="shared" si="14"/>
        <v>1755</v>
      </c>
      <c r="N31">
        <f t="shared" si="15"/>
        <v>9.6217974539960033E-2</v>
      </c>
      <c r="O31">
        <f>N31*(0.0006/0.0157+Errors!I35/Values!I35)</f>
        <v>3.7010433192762597E-3</v>
      </c>
    </row>
    <row r="32" spans="1:15" x14ac:dyDescent="0.3">
      <c r="A32" t="s">
        <v>0</v>
      </c>
      <c r="B32" t="s">
        <v>1</v>
      </c>
      <c r="C32" t="s">
        <v>2</v>
      </c>
      <c r="D32" t="s">
        <v>4</v>
      </c>
      <c r="E32" t="s">
        <v>7</v>
      </c>
      <c r="F32" s="1" t="s">
        <v>8</v>
      </c>
      <c r="G32" t="s">
        <v>11</v>
      </c>
      <c r="H32" t="s">
        <v>12</v>
      </c>
      <c r="I32" t="s">
        <v>3</v>
      </c>
      <c r="M32">
        <f t="shared" si="14"/>
        <v>2200</v>
      </c>
      <c r="N32">
        <f t="shared" si="15"/>
        <v>7.6476822060285596E-2</v>
      </c>
      <c r="O32">
        <f>N32*(0.0006/0.0157+Errors!I36/Values!I36)</f>
        <v>2.9445659482015374E-3</v>
      </c>
    </row>
    <row r="33" spans="1:15" x14ac:dyDescent="0.3">
      <c r="A33">
        <v>1125</v>
      </c>
      <c r="B33">
        <v>268.3</v>
      </c>
      <c r="C33">
        <v>0.71</v>
      </c>
      <c r="D33">
        <f>B33/1000</f>
        <v>0.26830000000000004</v>
      </c>
      <c r="E33">
        <v>4.5</v>
      </c>
      <c r="F33">
        <v>4.5</v>
      </c>
      <c r="G33">
        <f t="shared" ref="G33:G48" si="16">A33^0.5</f>
        <v>33.541019662496844</v>
      </c>
      <c r="H33">
        <f t="shared" ref="H33:H48" si="17">F33/E33*PI()-PI()/2 - PI()/4</f>
        <v>0.78539816339744828</v>
      </c>
      <c r="I33">
        <f>C33/D33/A33</f>
        <v>2.3522590798028737E-3</v>
      </c>
      <c r="M33">
        <f t="shared" si="14"/>
        <v>2750</v>
      </c>
      <c r="N33">
        <f t="shared" si="15"/>
        <v>6.0756118137660034E-2</v>
      </c>
      <c r="O33">
        <f>N33*(0.0006/0.0157+Errors!I37/Values!I37)</f>
        <v>2.3425424123250083E-3</v>
      </c>
    </row>
    <row r="34" spans="1:15" x14ac:dyDescent="0.3">
      <c r="A34">
        <v>1405</v>
      </c>
      <c r="B34">
        <v>247.5</v>
      </c>
      <c r="C34">
        <v>0.65700000000000003</v>
      </c>
      <c r="D34">
        <f t="shared" ref="D34:D48" si="18">B34/1000</f>
        <v>0.2475</v>
      </c>
      <c r="E34">
        <v>3.6</v>
      </c>
      <c r="F34">
        <v>3.6</v>
      </c>
      <c r="G34">
        <f t="shared" si="16"/>
        <v>37.483329627982627</v>
      </c>
      <c r="H34">
        <f t="shared" si="17"/>
        <v>0.78539816339744828</v>
      </c>
      <c r="I34">
        <f t="shared" ref="I34:I48" si="19">C34/D34/A34</f>
        <v>1.8893561954060176E-3</v>
      </c>
      <c r="M34">
        <f t="shared" si="14"/>
        <v>3430</v>
      </c>
      <c r="N34">
        <f t="shared" si="15"/>
        <v>4.8187344874946796E-2</v>
      </c>
      <c r="O34">
        <f>N34*(0.0006/0.0157+Errors!I38/Values!I38)</f>
        <v>1.861590257691556E-3</v>
      </c>
    </row>
    <row r="35" spans="1:15" x14ac:dyDescent="0.3">
      <c r="A35">
        <v>1755</v>
      </c>
      <c r="B35">
        <v>223.3</v>
      </c>
      <c r="C35">
        <v>0.59199999999999997</v>
      </c>
      <c r="D35">
        <f t="shared" si="18"/>
        <v>0.2233</v>
      </c>
      <c r="E35">
        <v>2.8</v>
      </c>
      <c r="F35">
        <v>2.8</v>
      </c>
      <c r="G35">
        <f t="shared" si="16"/>
        <v>41.892720131306824</v>
      </c>
      <c r="H35">
        <f t="shared" si="17"/>
        <v>0.78539816339744828</v>
      </c>
      <c r="I35">
        <f t="shared" si="19"/>
        <v>1.5106222002773725E-3</v>
      </c>
      <c r="M35">
        <f t="shared" si="14"/>
        <v>4290</v>
      </c>
      <c r="N35">
        <f t="shared" si="15"/>
        <v>3.7843199503255036E-2</v>
      </c>
      <c r="O35">
        <f>N35*(0.0006/0.0157+Errors!I39/Values!I39)</f>
        <v>1.4662744955065751E-3</v>
      </c>
    </row>
    <row r="36" spans="1:15" x14ac:dyDescent="0.3">
      <c r="A36">
        <v>2200</v>
      </c>
      <c r="B36">
        <v>196.1</v>
      </c>
      <c r="C36">
        <v>0.51800000000000002</v>
      </c>
      <c r="D36">
        <f t="shared" si="18"/>
        <v>0.1961</v>
      </c>
      <c r="E36">
        <v>4.5999999999999996</v>
      </c>
      <c r="F36">
        <v>4.9000000000000004</v>
      </c>
      <c r="G36">
        <f t="shared" si="16"/>
        <v>46.904157598234299</v>
      </c>
      <c r="H36">
        <f t="shared" si="17"/>
        <v>0.9902846408054784</v>
      </c>
      <c r="I36">
        <f t="shared" si="19"/>
        <v>1.2006861063464838E-3</v>
      </c>
      <c r="M36">
        <f t="shared" si="14"/>
        <v>5364</v>
      </c>
      <c r="N36">
        <f t="shared" si="15"/>
        <v>2.9500841709622111E-2</v>
      </c>
      <c r="O36">
        <f>N36*(0.0006/0.0157+Errors!I40/Values!I40)</f>
        <v>1.1480268213712708E-3</v>
      </c>
    </row>
    <row r="37" spans="1:15" x14ac:dyDescent="0.3">
      <c r="A37">
        <v>2750</v>
      </c>
      <c r="B37">
        <v>168.5</v>
      </c>
      <c r="C37">
        <v>0.442</v>
      </c>
      <c r="D37">
        <f t="shared" si="18"/>
        <v>0.16850000000000001</v>
      </c>
      <c r="E37">
        <v>3.6</v>
      </c>
      <c r="F37">
        <v>4</v>
      </c>
      <c r="G37">
        <f t="shared" si="16"/>
        <v>52.440442408507579</v>
      </c>
      <c r="H37">
        <f t="shared" si="17"/>
        <v>1.1344640137963142</v>
      </c>
      <c r="I37">
        <f t="shared" si="19"/>
        <v>9.5387105476126249E-4</v>
      </c>
      <c r="M37">
        <f t="shared" si="14"/>
        <v>6705</v>
      </c>
      <c r="N37">
        <f t="shared" si="15"/>
        <v>2.2980722473483248E-2</v>
      </c>
      <c r="O37">
        <f>N37*(0.0006/0.0157+Errors!I41/Values!I41)</f>
        <v>8.9984887745859045E-4</v>
      </c>
    </row>
    <row r="38" spans="1:15" x14ac:dyDescent="0.3">
      <c r="A38">
        <v>3430</v>
      </c>
      <c r="B38">
        <v>142.19999999999999</v>
      </c>
      <c r="C38">
        <v>0.36899999999999999</v>
      </c>
      <c r="D38">
        <f t="shared" si="18"/>
        <v>0.14219999999999999</v>
      </c>
      <c r="E38">
        <v>3</v>
      </c>
      <c r="F38">
        <v>3.3</v>
      </c>
      <c r="G38">
        <f t="shared" si="16"/>
        <v>58.566201857385288</v>
      </c>
      <c r="H38">
        <f t="shared" si="17"/>
        <v>1.0995574287564271</v>
      </c>
      <c r="I38">
        <f t="shared" si="19"/>
        <v>7.5654131453666462E-4</v>
      </c>
      <c r="M38">
        <f t="shared" si="14"/>
        <v>8385</v>
      </c>
      <c r="N38">
        <f t="shared" si="15"/>
        <v>1.7435936209517819E-2</v>
      </c>
      <c r="O38">
        <f>N38*(0.0006/0.0157+Errors!I42/Values!I42)</f>
        <v>6.9008599088040323E-4</v>
      </c>
    </row>
    <row r="39" spans="1:15" x14ac:dyDescent="0.3">
      <c r="A39">
        <v>4290</v>
      </c>
      <c r="B39">
        <v>117.7</v>
      </c>
      <c r="C39">
        <v>0.3</v>
      </c>
      <c r="D39">
        <f t="shared" si="18"/>
        <v>0.1177</v>
      </c>
      <c r="E39">
        <v>2.4</v>
      </c>
      <c r="F39">
        <v>2.8</v>
      </c>
      <c r="G39">
        <f t="shared" si="16"/>
        <v>65.498091575251266</v>
      </c>
      <c r="H39">
        <f t="shared" si="17"/>
        <v>1.3089969389957474</v>
      </c>
      <c r="I39">
        <f t="shared" si="19"/>
        <v>5.9413823220110396E-4</v>
      </c>
      <c r="M39">
        <f t="shared" si="14"/>
        <v>10475</v>
      </c>
      <c r="N39">
        <f t="shared" si="15"/>
        <v>1.3250998399260817E-2</v>
      </c>
      <c r="O39">
        <f>N39*(0.0006/0.0157+Errors!I43/Values!I43)</f>
        <v>5.3309674590978028E-4</v>
      </c>
    </row>
    <row r="40" spans="1:15" x14ac:dyDescent="0.3">
      <c r="A40">
        <v>5364</v>
      </c>
      <c r="B40">
        <v>96.2</v>
      </c>
      <c r="C40">
        <v>0.23899999999999999</v>
      </c>
      <c r="D40">
        <f t="shared" si="18"/>
        <v>9.6200000000000008E-2</v>
      </c>
      <c r="E40">
        <v>4.7</v>
      </c>
      <c r="F40">
        <v>5.6</v>
      </c>
      <c r="G40">
        <f t="shared" si="16"/>
        <v>73.23933369440222</v>
      </c>
      <c r="H40">
        <f t="shared" si="17"/>
        <v>1.386979735361451</v>
      </c>
      <c r="I40">
        <f t="shared" si="19"/>
        <v>4.6316321484106708E-4</v>
      </c>
      <c r="M40">
        <f t="shared" si="14"/>
        <v>13096</v>
      </c>
      <c r="N40">
        <f t="shared" si="15"/>
        <v>9.986680103290806E-3</v>
      </c>
      <c r="O40">
        <f>N40*(0.0006/0.0157+Errors!I44/Values!I44)</f>
        <v>4.1306012091681267E-4</v>
      </c>
    </row>
    <row r="41" spans="1:15" x14ac:dyDescent="0.3">
      <c r="A41">
        <v>6705</v>
      </c>
      <c r="B41">
        <v>77.3</v>
      </c>
      <c r="C41">
        <v>0.187</v>
      </c>
      <c r="D41">
        <f t="shared" si="18"/>
        <v>7.7299999999999994E-2</v>
      </c>
      <c r="E41">
        <v>3.7</v>
      </c>
      <c r="F41">
        <v>4.5999999999999996</v>
      </c>
      <c r="G41">
        <f t="shared" si="16"/>
        <v>81.884064383737083</v>
      </c>
      <c r="H41">
        <f t="shared" si="17"/>
        <v>1.5495693494057754</v>
      </c>
      <c r="I41">
        <f t="shared" si="19"/>
        <v>3.6079734283368694E-4</v>
      </c>
      <c r="M41">
        <f t="shared" si="14"/>
        <v>16370</v>
      </c>
      <c r="N41">
        <f>I45/0.0157</f>
        <v>7.6702612160451664E-3</v>
      </c>
      <c r="O41">
        <f>N41*(0.0006/0.0157+Errors!I45/Values!I45)</f>
        <v>3.297081084168996E-4</v>
      </c>
    </row>
    <row r="42" spans="1:15" x14ac:dyDescent="0.3">
      <c r="A42">
        <v>8385</v>
      </c>
      <c r="B42">
        <v>62.3</v>
      </c>
      <c r="C42">
        <v>0.14299999999999999</v>
      </c>
      <c r="D42">
        <f t="shared" si="18"/>
        <v>6.2299999999999994E-2</v>
      </c>
      <c r="E42">
        <v>3</v>
      </c>
      <c r="F42">
        <v>3.9</v>
      </c>
      <c r="G42">
        <f t="shared" si="16"/>
        <v>91.569645625611116</v>
      </c>
      <c r="H42">
        <f t="shared" si="17"/>
        <v>1.7278759594743862</v>
      </c>
      <c r="I42">
        <f t="shared" si="19"/>
        <v>2.7374419848942973E-4</v>
      </c>
      <c r="M42">
        <f t="shared" si="14"/>
        <v>20460</v>
      </c>
      <c r="N42">
        <f t="shared" si="15"/>
        <v>6.2712479528717075E-3</v>
      </c>
      <c r="O42">
        <f>N42*(0.0006/0.0157+Errors!I46/Values!I46)</f>
        <v>2.8008668944127287E-4</v>
      </c>
    </row>
    <row r="43" spans="1:15" x14ac:dyDescent="0.3">
      <c r="A43">
        <v>10475</v>
      </c>
      <c r="B43">
        <v>49.1</v>
      </c>
      <c r="C43">
        <v>0.107</v>
      </c>
      <c r="D43">
        <f t="shared" si="18"/>
        <v>4.9100000000000005E-2</v>
      </c>
      <c r="E43">
        <v>4.8</v>
      </c>
      <c r="F43">
        <v>6.8</v>
      </c>
      <c r="G43">
        <f t="shared" si="16"/>
        <v>102.34744745229361</v>
      </c>
      <c r="H43">
        <f t="shared" si="17"/>
        <v>2.0943951023931957</v>
      </c>
      <c r="I43">
        <f t="shared" si="19"/>
        <v>2.080406748683948E-4</v>
      </c>
      <c r="M43">
        <f t="shared" si="14"/>
        <v>25580</v>
      </c>
      <c r="N43">
        <f t="shared" si="15"/>
        <v>6.3733518572534108E-3</v>
      </c>
      <c r="O43">
        <f>N43*(0.0006/0.0157+Errors!I47/Values!I47)</f>
        <v>2.7819449146068362E-4</v>
      </c>
    </row>
    <row r="44" spans="1:15" x14ac:dyDescent="0.3">
      <c r="A44">
        <v>13096</v>
      </c>
      <c r="B44">
        <v>37.5</v>
      </c>
      <c r="C44">
        <v>7.6999999999999999E-2</v>
      </c>
      <c r="D44">
        <f t="shared" si="18"/>
        <v>3.7499999999999999E-2</v>
      </c>
      <c r="E44">
        <v>3.8</v>
      </c>
      <c r="F44">
        <v>5.6</v>
      </c>
      <c r="G44">
        <f t="shared" si="16"/>
        <v>114.43775600735974</v>
      </c>
      <c r="H44">
        <f t="shared" si="17"/>
        <v>2.2735209993084027</v>
      </c>
      <c r="I44">
        <f t="shared" si="19"/>
        <v>1.5679087762166563E-4</v>
      </c>
      <c r="M44">
        <f t="shared" si="14"/>
        <v>32000</v>
      </c>
      <c r="N44">
        <f t="shared" si="15"/>
        <v>9.5317125684040577E-3</v>
      </c>
      <c r="O44">
        <f>N44*(0.0006/0.0157+Errors!I48/Values!I48)</f>
        <v>3.9137827145924891E-4</v>
      </c>
    </row>
    <row r="45" spans="1:15" x14ac:dyDescent="0.3">
      <c r="A45">
        <v>16370</v>
      </c>
      <c r="B45">
        <v>27.9</v>
      </c>
      <c r="C45">
        <v>5.5E-2</v>
      </c>
      <c r="D45">
        <f t="shared" si="18"/>
        <v>2.7899999999999998E-2</v>
      </c>
      <c r="E45">
        <v>3</v>
      </c>
      <c r="F45">
        <v>4.8</v>
      </c>
      <c r="G45">
        <f t="shared" si="16"/>
        <v>127.94530081249565</v>
      </c>
      <c r="H45">
        <f t="shared" si="17"/>
        <v>2.6703537555513241</v>
      </c>
      <c r="I45">
        <f t="shared" si="19"/>
        <v>1.204231010919091E-4</v>
      </c>
    </row>
    <row r="46" spans="1:15" x14ac:dyDescent="0.3">
      <c r="A46">
        <v>20460</v>
      </c>
      <c r="B46">
        <v>19.36</v>
      </c>
      <c r="C46">
        <v>3.9E-2</v>
      </c>
      <c r="D46">
        <f t="shared" si="18"/>
        <v>1.9359999999999999E-2</v>
      </c>
      <c r="E46">
        <v>2.4</v>
      </c>
      <c r="F46">
        <v>4.2</v>
      </c>
      <c r="G46">
        <f t="shared" si="16"/>
        <v>143.03845636750978</v>
      </c>
      <c r="H46">
        <f t="shared" si="17"/>
        <v>3.141592653589794</v>
      </c>
      <c r="I46">
        <f t="shared" si="19"/>
        <v>9.8458592860085797E-5</v>
      </c>
    </row>
    <row r="47" spans="1:15" x14ac:dyDescent="0.3">
      <c r="A47">
        <v>25580</v>
      </c>
      <c r="B47">
        <v>11.33</v>
      </c>
      <c r="C47">
        <v>2.9000000000000001E-2</v>
      </c>
      <c r="D47">
        <f t="shared" si="18"/>
        <v>1.133E-2</v>
      </c>
      <c r="E47">
        <v>2</v>
      </c>
      <c r="F47">
        <v>3.5</v>
      </c>
      <c r="G47">
        <f t="shared" si="16"/>
        <v>159.93748778819804</v>
      </c>
      <c r="H47">
        <f t="shared" si="17"/>
        <v>3.1415926535897931</v>
      </c>
      <c r="I47">
        <f t="shared" si="19"/>
        <v>1.0006162415887854E-4</v>
      </c>
    </row>
    <row r="48" spans="1:15" x14ac:dyDescent="0.3">
      <c r="A48">
        <v>32000</v>
      </c>
      <c r="B48">
        <v>3.55</v>
      </c>
      <c r="C48">
        <v>1.7000000000000001E-2</v>
      </c>
      <c r="D48">
        <f t="shared" si="18"/>
        <v>3.5499999999999998E-3</v>
      </c>
      <c r="E48">
        <v>3.2</v>
      </c>
      <c r="F48">
        <v>5.6</v>
      </c>
      <c r="G48">
        <f t="shared" si="16"/>
        <v>178.88543819998318</v>
      </c>
      <c r="H48">
        <f t="shared" si="17"/>
        <v>3.1415926535897922</v>
      </c>
      <c r="I48">
        <f t="shared" si="19"/>
        <v>1.4964788732394369E-4</v>
      </c>
    </row>
    <row r="51" spans="1:4" x14ac:dyDescent="0.3">
      <c r="A51" t="s">
        <v>0</v>
      </c>
      <c r="B51" t="s">
        <v>14</v>
      </c>
      <c r="C51" t="s">
        <v>6</v>
      </c>
      <c r="D51" t="s">
        <v>15</v>
      </c>
    </row>
    <row r="52" spans="1:4" x14ac:dyDescent="0.3">
      <c r="A52">
        <v>40</v>
      </c>
      <c r="B52">
        <v>10.199999999999999</v>
      </c>
      <c r="C52">
        <f>A52^2</f>
        <v>1600</v>
      </c>
      <c r="D52">
        <f>(10.2 - B52)*(B52-2.87)^(-1)</f>
        <v>0</v>
      </c>
    </row>
    <row r="53" spans="1:4" x14ac:dyDescent="0.3">
      <c r="A53">
        <v>150</v>
      </c>
      <c r="B53">
        <v>7.3</v>
      </c>
      <c r="C53">
        <f t="shared" ref="C53:C69" si="20">A53^2</f>
        <v>22500</v>
      </c>
      <c r="D53">
        <f t="shared" ref="D53:D69" si="21">(10.2 - B53)*(B53-2.87)^(-1)</f>
        <v>0.65462753950338592</v>
      </c>
    </row>
    <row r="54" spans="1:4" x14ac:dyDescent="0.3">
      <c r="A54">
        <v>250</v>
      </c>
      <c r="B54">
        <v>5.38</v>
      </c>
      <c r="C54">
        <f t="shared" si="20"/>
        <v>62500</v>
      </c>
      <c r="D54">
        <f t="shared" si="21"/>
        <v>1.9203187250996014</v>
      </c>
    </row>
    <row r="55" spans="1:4" x14ac:dyDescent="0.3">
      <c r="A55">
        <v>300</v>
      </c>
      <c r="B55">
        <v>4.8</v>
      </c>
      <c r="C55">
        <f t="shared" si="20"/>
        <v>90000</v>
      </c>
      <c r="D55">
        <f t="shared" si="21"/>
        <v>2.7979274611398965</v>
      </c>
    </row>
    <row r="56" spans="1:4" x14ac:dyDescent="0.3">
      <c r="A56">
        <v>400</v>
      </c>
      <c r="B56">
        <v>4.0999999999999996</v>
      </c>
      <c r="C56">
        <f t="shared" si="20"/>
        <v>160000</v>
      </c>
      <c r="D56">
        <f t="shared" si="21"/>
        <v>4.9593495934959364</v>
      </c>
    </row>
    <row r="57" spans="1:4" x14ac:dyDescent="0.3">
      <c r="A57">
        <v>500</v>
      </c>
      <c r="B57">
        <v>3.7</v>
      </c>
      <c r="C57">
        <f t="shared" si="20"/>
        <v>250000</v>
      </c>
      <c r="D57">
        <f t="shared" si="21"/>
        <v>7.8313253012048172</v>
      </c>
    </row>
    <row r="58" spans="1:4" x14ac:dyDescent="0.3">
      <c r="A58">
        <v>600</v>
      </c>
      <c r="B58">
        <v>3.46</v>
      </c>
      <c r="C58">
        <f t="shared" si="20"/>
        <v>360000</v>
      </c>
      <c r="D58">
        <f t="shared" si="21"/>
        <v>11.423728813559324</v>
      </c>
    </row>
    <row r="59" spans="1:4" x14ac:dyDescent="0.3">
      <c r="A59">
        <v>800</v>
      </c>
      <c r="B59">
        <v>3.2</v>
      </c>
      <c r="C59">
        <f t="shared" si="20"/>
        <v>640000</v>
      </c>
      <c r="D59">
        <f t="shared" si="21"/>
        <v>21.212121212121207</v>
      </c>
    </row>
    <row r="60" spans="1:4" x14ac:dyDescent="0.3">
      <c r="A60">
        <v>1500</v>
      </c>
      <c r="B60">
        <v>2.96</v>
      </c>
      <c r="C60">
        <f t="shared" si="20"/>
        <v>2250000</v>
      </c>
      <c r="D60">
        <f t="shared" si="21"/>
        <v>80.444444444444557</v>
      </c>
    </row>
    <row r="61" spans="1:4" x14ac:dyDescent="0.3">
      <c r="A61">
        <v>2000</v>
      </c>
      <c r="B61">
        <v>2.91</v>
      </c>
      <c r="C61">
        <f t="shared" si="20"/>
        <v>4000000</v>
      </c>
      <c r="D61">
        <f t="shared" si="21"/>
        <v>182.24999999999983</v>
      </c>
    </row>
    <row r="62" spans="1:4" x14ac:dyDescent="0.3">
      <c r="A62">
        <v>2500</v>
      </c>
      <c r="B62">
        <v>2.89</v>
      </c>
      <c r="C62">
        <f t="shared" si="20"/>
        <v>6250000</v>
      </c>
      <c r="D62">
        <f t="shared" si="21"/>
        <v>365.4999999999996</v>
      </c>
    </row>
    <row r="63" spans="1:4" x14ac:dyDescent="0.3">
      <c r="A63">
        <v>3000</v>
      </c>
      <c r="B63">
        <v>2.88</v>
      </c>
      <c r="C63">
        <f t="shared" si="20"/>
        <v>9000000</v>
      </c>
      <c r="D63">
        <f t="shared" si="21"/>
        <v>732.00000000001558</v>
      </c>
    </row>
    <row r="64" spans="1:4" x14ac:dyDescent="0.3">
      <c r="A64">
        <v>4000</v>
      </c>
      <c r="B64">
        <v>2.87</v>
      </c>
      <c r="C64">
        <f t="shared" si="20"/>
        <v>16000000</v>
      </c>
      <c r="D64" t="e">
        <f t="shared" si="21"/>
        <v>#DIV/0!</v>
      </c>
    </row>
    <row r="65" spans="1:4" x14ac:dyDescent="0.3">
      <c r="A65">
        <v>6000</v>
      </c>
      <c r="B65">
        <v>2.88</v>
      </c>
      <c r="C65">
        <f t="shared" si="20"/>
        <v>36000000</v>
      </c>
      <c r="D65">
        <f t="shared" si="21"/>
        <v>732.00000000001558</v>
      </c>
    </row>
    <row r="66" spans="1:4" x14ac:dyDescent="0.3">
      <c r="A66">
        <v>12000</v>
      </c>
      <c r="B66">
        <v>3.01</v>
      </c>
      <c r="C66">
        <f t="shared" si="20"/>
        <v>144000000</v>
      </c>
      <c r="D66">
        <f t="shared" si="21"/>
        <v>51.357142857142968</v>
      </c>
    </row>
    <row r="67" spans="1:4" x14ac:dyDescent="0.3">
      <c r="A67">
        <v>15000</v>
      </c>
      <c r="B67">
        <v>3.17</v>
      </c>
      <c r="C67">
        <f t="shared" si="20"/>
        <v>225000000</v>
      </c>
      <c r="D67">
        <f t="shared" si="21"/>
        <v>23.433333333333344</v>
      </c>
    </row>
    <row r="68" spans="1:4" x14ac:dyDescent="0.3">
      <c r="A68">
        <v>20000</v>
      </c>
      <c r="B68">
        <v>3.61</v>
      </c>
      <c r="C68">
        <f t="shared" si="20"/>
        <v>400000000</v>
      </c>
      <c r="D68">
        <f t="shared" si="21"/>
        <v>8.905405405405407</v>
      </c>
    </row>
    <row r="69" spans="1:4" x14ac:dyDescent="0.3">
      <c r="A69">
        <v>25000</v>
      </c>
      <c r="B69">
        <v>4.51</v>
      </c>
      <c r="C69">
        <f t="shared" si="20"/>
        <v>625000000</v>
      </c>
      <c r="D69">
        <f t="shared" si="21"/>
        <v>3.4695121951219514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3EE0-2555-4893-B249-C5A35DE52CD2}">
  <sheetPr codeName="Лист2"/>
  <dimension ref="A1:N69"/>
  <sheetViews>
    <sheetView topLeftCell="A21" zoomScale="104" workbookViewId="0">
      <selection activeCell="N2" sqref="N2"/>
    </sheetView>
  </sheetViews>
  <sheetFormatPr defaultRowHeight="14.4" x14ac:dyDescent="0.3"/>
  <sheetData>
    <row r="1" spans="1:14" x14ac:dyDescent="0.3">
      <c r="A1" t="s">
        <v>0</v>
      </c>
      <c r="B1" t="s">
        <v>1</v>
      </c>
      <c r="C1" t="s">
        <v>2</v>
      </c>
      <c r="D1" t="s">
        <v>4</v>
      </c>
      <c r="E1" t="s">
        <v>3</v>
      </c>
      <c r="F1" s="1" t="s">
        <v>5</v>
      </c>
      <c r="G1" t="s">
        <v>6</v>
      </c>
      <c r="N1" t="s">
        <v>3</v>
      </c>
    </row>
    <row r="2" spans="1:14" x14ac:dyDescent="0.3">
      <c r="A2">
        <v>0.01</v>
      </c>
      <c r="B2">
        <v>0.1</v>
      </c>
      <c r="C2">
        <v>1E-3</v>
      </c>
      <c r="D2">
        <f>ERR("=B2/1000",Values!B2,Errors!B2)</f>
        <v>1.0000002231523541E-4</v>
      </c>
      <c r="E2">
        <f>ERR("=C2/D2/A2",Values!C2,Errors!C2,Values!D2,Errors!D2,Values!A2,Errors!A2)</f>
        <v>7.8881516369659025E-4</v>
      </c>
      <c r="F2">
        <f>ERR("=1/E2^2",Values!E2,Errors!E2)</f>
        <v>415.31461286505152</v>
      </c>
      <c r="G2">
        <f>ERR("=A2^2",Values!A2,Errors!A2)</f>
        <v>0.45000029381804374</v>
      </c>
      <c r="J2" t="s">
        <v>16</v>
      </c>
      <c r="N2" t="e">
        <f>ERR("=E2/$J$3",Values!E2,Errors!E2)</f>
        <v>#VALUE!</v>
      </c>
    </row>
    <row r="3" spans="1:14" x14ac:dyDescent="0.3">
      <c r="A3">
        <v>0.01</v>
      </c>
      <c r="B3">
        <v>0.1</v>
      </c>
      <c r="C3">
        <v>1E-3</v>
      </c>
      <c r="D3">
        <f>ERR("=B3/1000",Values!B3,Errors!B3)</f>
        <v>9.9999974630915161E-5</v>
      </c>
      <c r="E3">
        <f>ERR("=C3/D3/A3",Values!C3,Errors!C3,Values!D3,Errors!D3,Values!A3,Errors!A3)</f>
        <v>2.9441838791446901E-4</v>
      </c>
      <c r="F3">
        <f>ERR("=1/E3^2",Values!E3,Errors!E3)</f>
        <v>158.8718120576886</v>
      </c>
      <c r="G3">
        <f>ERR("=A3^2",Values!A3,Errors!A3)</f>
        <v>0.62999976170618854</v>
      </c>
      <c r="J3">
        <v>5.9999999999999995E-4</v>
      </c>
      <c r="N3" t="e">
        <f>ERR("=E3/$J$3",Values!E3,Errors!E3)</f>
        <v>#VALUE!</v>
      </c>
    </row>
    <row r="4" spans="1:14" x14ac:dyDescent="0.3">
      <c r="A4">
        <v>0.01</v>
      </c>
      <c r="B4">
        <v>0.1</v>
      </c>
      <c r="C4">
        <v>1E-3</v>
      </c>
      <c r="D4">
        <f>ERR("=B4/1000",Values!B4,Errors!B4)</f>
        <v>1.0000007720140893E-4</v>
      </c>
      <c r="E4">
        <f>ERR("=C4/D4/A4",Values!C4,Errors!C4,Values!D4,Errors!D4,Values!A4,Errors!A4)</f>
        <v>1.4367036478409864E-4</v>
      </c>
      <c r="F4">
        <f>ERR("=1/E4^2",Values!E4,Errors!E4)</f>
        <v>80.626736935132584</v>
      </c>
      <c r="G4">
        <f>ERR("=A4^2",Values!A4,Errors!A4)</f>
        <v>0.81000047273083053</v>
      </c>
      <c r="N4" t="e">
        <f>ERR("=E4/$J$3",Values!E4,Errors!E4)</f>
        <v>#VALUE!</v>
      </c>
    </row>
    <row r="5" spans="1:14" x14ac:dyDescent="0.3">
      <c r="A5">
        <v>0.01</v>
      </c>
      <c r="B5">
        <v>0.1</v>
      </c>
      <c r="C5">
        <v>1E-3</v>
      </c>
      <c r="D5">
        <f>ERR("=B5/1000",Values!B5,Errors!B5)</f>
        <v>1.0000003218729947E-4</v>
      </c>
      <c r="E5">
        <f>ERR("=C5/D5/A5",Values!C5,Errors!C5,Values!D5,Errors!D5,Values!A5,Errors!A5)</f>
        <v>8.1607941473592479E-5</v>
      </c>
      <c r="F5">
        <f>ERR("=1/E5^2",Values!E5,Errors!E5)</f>
        <v>47.464980496974945</v>
      </c>
      <c r="G5">
        <f>ERR("=A5^2",Values!A5,Errors!A5)</f>
        <v>0.99000060046562033</v>
      </c>
      <c r="N5" t="e">
        <f>ERR("=E5/$J$3",Values!E5,Errors!E5)</f>
        <v>#VALUE!</v>
      </c>
    </row>
    <row r="6" spans="1:14" x14ac:dyDescent="0.3">
      <c r="A6">
        <v>0.01</v>
      </c>
      <c r="B6">
        <v>0.1</v>
      </c>
      <c r="C6">
        <v>1E-3</v>
      </c>
      <c r="D6">
        <f>ERR("=B6/1000",Values!B6,Errors!B6)</f>
        <v>9.9999950731220654E-5</v>
      </c>
      <c r="E6">
        <f>ERR("=C6/D6/A6",Values!C6,Errors!C6,Values!D6,Errors!D6,Values!A6,Errors!A6)</f>
        <v>5.1834589180461403E-5</v>
      </c>
      <c r="F6">
        <f>ERR("=1/E6^2",Values!E6,Errors!E6)</f>
        <v>31.694856520084027</v>
      </c>
      <c r="G6">
        <f>ERR("=A6^2",Values!A6,Errors!A6)</f>
        <v>1.1699996367753602</v>
      </c>
      <c r="N6" t="e">
        <f>ERR("=E6/$J$3",Values!E6,Errors!E6)</f>
        <v>#VALUE!</v>
      </c>
    </row>
    <row r="7" spans="1:14" x14ac:dyDescent="0.3">
      <c r="A7">
        <v>0.01</v>
      </c>
      <c r="B7">
        <v>0.1</v>
      </c>
      <c r="C7">
        <v>1E-3</v>
      </c>
      <c r="D7">
        <f>ERR("=B7/1000",Values!B7,Errors!B7)</f>
        <v>1.000000046901952E-4</v>
      </c>
      <c r="E7">
        <f>ERR("=C7/D7/A7",Values!C7,Errors!C7,Values!D7,Errors!D7,Values!A7,Errors!A7)</f>
        <v>3.5480010347841676E-5</v>
      </c>
      <c r="F7">
        <f>ERR("=1/E7^2",Values!E7,Errors!E7)</f>
        <v>22.867038619613183</v>
      </c>
      <c r="G7">
        <f>ERR("=A7^2",Values!A7,Errors!A7)</f>
        <v>1.3500000393294074</v>
      </c>
      <c r="N7" t="e">
        <f>ERR("=E7/$J$3",Values!E7,Errors!E7)</f>
        <v>#VALUE!</v>
      </c>
    </row>
    <row r="8" spans="1:14" x14ac:dyDescent="0.3">
      <c r="A8">
        <v>0.01</v>
      </c>
      <c r="B8">
        <v>0.1</v>
      </c>
      <c r="C8">
        <v>1E-3</v>
      </c>
      <c r="D8">
        <f>ERR("=B8/1000",Values!B8,Errors!B8)</f>
        <v>1.0000001398880234E-4</v>
      </c>
      <c r="E8">
        <f>ERR("=C8/D8/A8",Values!C8,Errors!C8,Values!D8,Errors!D8,Values!A8,Errors!A8)</f>
        <v>2.5708166832861543E-5</v>
      </c>
      <c r="F8">
        <f>ERR("=1/E8^2",Values!E8,Errors!E8)</f>
        <v>17.53281363472162</v>
      </c>
      <c r="G8">
        <f>ERR("=A8^2",Values!A8,Errors!A8)</f>
        <v>1.5300007314829069</v>
      </c>
      <c r="N8" t="e">
        <f>ERR("=E8/$J$3",Values!E8,Errors!E8)</f>
        <v>#VALUE!</v>
      </c>
    </row>
    <row r="9" spans="1:14" x14ac:dyDescent="0.3">
      <c r="A9">
        <v>0.01</v>
      </c>
      <c r="B9">
        <v>0.1</v>
      </c>
      <c r="C9">
        <v>1E-3</v>
      </c>
      <c r="D9">
        <f>ERR("=B9/1000",Values!B9,Errors!B9)</f>
        <v>9.9999957653561976E-5</v>
      </c>
      <c r="E9">
        <f>ERR("=C9/D9/A9",Values!C9,Errors!C9,Values!D9,Errors!D9,Values!A9,Errors!A9)</f>
        <v>1.948421431316988E-5</v>
      </c>
      <c r="F9">
        <f>ERR("=1/E9^2",Values!E9,Errors!E9)</f>
        <v>14.121882206934787</v>
      </c>
      <c r="G9">
        <f>ERR("=A9^2",Values!A9,Errors!A9)</f>
        <v>1.7100010899151539</v>
      </c>
      <c r="N9" t="e">
        <f>ERR("=E9/$J$3",Values!E9,Errors!E9)</f>
        <v>#VALUE!</v>
      </c>
    </row>
    <row r="10" spans="1:14" x14ac:dyDescent="0.3">
      <c r="A10">
        <v>0.01</v>
      </c>
      <c r="B10">
        <v>0.1</v>
      </c>
      <c r="C10">
        <v>1E-3</v>
      </c>
      <c r="D10">
        <f>ERR("=B10/1000",Values!B10,Errors!B10)</f>
        <v>1.0000005271508415E-4</v>
      </c>
      <c r="E10">
        <f>ERR("=C10/D10/A10",Values!C10,Errors!C10,Values!D10,Errors!D10,Values!A10,Errors!A10)</f>
        <v>1.5312722575939419E-5</v>
      </c>
      <c r="F10">
        <f>ERR("=1/E10^2",Values!E10,Errors!E10)</f>
        <v>11.8367679794364</v>
      </c>
      <c r="G10">
        <f>ERR("=A10^2",Values!A10,Errors!A10)</f>
        <v>1.8900012099750774</v>
      </c>
      <c r="N10" t="e">
        <f>ERR("=E10/$J$3",Values!E10,Errors!E10)</f>
        <v>#VALUE!</v>
      </c>
    </row>
    <row r="11" spans="1:14" x14ac:dyDescent="0.3">
      <c r="A11">
        <v>0.01</v>
      </c>
      <c r="B11">
        <v>0.1</v>
      </c>
      <c r="C11">
        <v>1E-3</v>
      </c>
      <c r="D11">
        <f>ERR("=B11/1000",Values!B11,Errors!B11)</f>
        <v>1.0000005281331697E-4</v>
      </c>
      <c r="E11">
        <f>ERR("=C11/D11/A11",Values!C11,Errors!C11,Values!D11,Errors!D11,Values!A11,Errors!A11)</f>
        <v>1.2378460290986486E-5</v>
      </c>
      <c r="F11">
        <f>ERR("=1/E11^2",Values!E11,Errors!E11)</f>
        <v>10.233055983094864</v>
      </c>
      <c r="G11">
        <f>ERR("=A11^2",Values!A11,Errors!A11)</f>
        <v>2.070001153846762</v>
      </c>
      <c r="N11" t="e">
        <f>ERR("=E11/$J$3",Values!E11,Errors!E11)</f>
        <v>#VALUE!</v>
      </c>
    </row>
    <row r="12" spans="1:14" x14ac:dyDescent="0.3">
      <c r="A12">
        <v>0.01</v>
      </c>
      <c r="B12">
        <v>0.1</v>
      </c>
      <c r="C12">
        <v>1E-3</v>
      </c>
      <c r="D12">
        <f>ERR("=B12/1000",Values!B12,Errors!B12)</f>
        <v>1.0000001323161946E-4</v>
      </c>
      <c r="E12">
        <f>ERR("=C12/D12/A12",Values!C12,Errors!C12,Values!D12,Errors!D12,Values!A12,Errors!A12)</f>
        <v>1.0278836963135851E-5</v>
      </c>
      <c r="F12">
        <f>ERR("=1/E12^2",Values!E12,Errors!E12)</f>
        <v>9.1476687013381834</v>
      </c>
      <c r="G12">
        <f>ERR("=A12^2",Values!A12,Errors!A12)</f>
        <v>2.2499993469359145</v>
      </c>
      <c r="N12" t="e">
        <f>ERR("=E12/$J$3",Values!E12,Errors!E12)</f>
        <v>#VALUE!</v>
      </c>
    </row>
    <row r="13" spans="1:14" x14ac:dyDescent="0.3">
      <c r="A13">
        <v>0.01</v>
      </c>
      <c r="B13">
        <v>0.1</v>
      </c>
      <c r="C13">
        <v>1E-3</v>
      </c>
      <c r="D13">
        <f>ERR("=B13/1000",Values!B13,Errors!B13)</f>
        <v>9.9999982032909543E-5</v>
      </c>
      <c r="E13">
        <f>ERR("=C13/D13/A13",Values!C13,Errors!C13,Values!D13,Errors!D13,Values!A13,Errors!A13)</f>
        <v>8.7120350476175153E-6</v>
      </c>
      <c r="F13">
        <f>ERR("=1/E13^2",Values!E13,Errors!E13)</f>
        <v>8.3693147293057901</v>
      </c>
      <c r="G13">
        <f>ERR("=A13^2",Values!A13,Errors!A13)</f>
        <v>2.4299991725265611</v>
      </c>
      <c r="N13" t="e">
        <f>ERR("=E13/$J$3",Values!E13,Errors!E13)</f>
        <v>#VALUE!</v>
      </c>
    </row>
    <row r="15" spans="1:14" x14ac:dyDescent="0.3">
      <c r="A15" t="s">
        <v>0</v>
      </c>
      <c r="B15" t="s">
        <v>1</v>
      </c>
      <c r="C15" t="s">
        <v>2</v>
      </c>
      <c r="D15" t="s">
        <v>4</v>
      </c>
      <c r="E15" t="s">
        <v>7</v>
      </c>
      <c r="F15" s="1" t="s">
        <v>8</v>
      </c>
      <c r="G15" t="s">
        <v>9</v>
      </c>
      <c r="H15" t="s">
        <v>10</v>
      </c>
      <c r="I15" t="s">
        <v>11</v>
      </c>
      <c r="J15" t="s">
        <v>13</v>
      </c>
      <c r="K15" t="s">
        <v>3</v>
      </c>
    </row>
    <row r="16" spans="1:14" x14ac:dyDescent="0.3">
      <c r="A16">
        <v>0.01</v>
      </c>
      <c r="B16">
        <v>0.1</v>
      </c>
      <c r="C16">
        <v>1E-3</v>
      </c>
      <c r="D16">
        <f>ERR("=B16/1000",Values!B16,Errors!B16)</f>
        <v>1.0000003520893989E-4</v>
      </c>
      <c r="E16">
        <v>0.1</v>
      </c>
      <c r="F16">
        <v>0.1</v>
      </c>
      <c r="G16">
        <f>ERR("=F16/E16*PI() -PI()/2",Values!F16,Errors!F16,Values!E16,Errors!E16)</f>
        <v>0.20227101783143758</v>
      </c>
      <c r="H16">
        <f>ERR("=TAN(G16)",Values!G16,Errors!G16)</f>
        <v>0.2696948476240158</v>
      </c>
      <c r="I16">
        <f>ERR("=A16^0.5",Values!A16,Errors!A16)</f>
        <v>4.5360916668936685E-4</v>
      </c>
      <c r="J16">
        <f>ERR("=G16-PI()/4",Values!G16,Errors!G16)</f>
        <v>0.20227108210684247</v>
      </c>
      <c r="K16">
        <f>ERR("=C16/D16/A16",Values!C16,Errors!C16,Values!D16,Errors!D16,Values!A16,Errors!A16)</f>
        <v>8.6970527569312783E-6</v>
      </c>
    </row>
    <row r="17" spans="1:11" x14ac:dyDescent="0.3">
      <c r="A17">
        <v>0.01</v>
      </c>
      <c r="B17">
        <v>0.1</v>
      </c>
      <c r="C17">
        <v>1E-3</v>
      </c>
      <c r="D17">
        <f>ERR("=B17/1000",Values!B17,Errors!B17)</f>
        <v>1.0000007273488663E-4</v>
      </c>
      <c r="E17">
        <v>0.1</v>
      </c>
      <c r="F17">
        <v>0.1</v>
      </c>
      <c r="G17">
        <f>ERR("=F17/E17*PI() -PI()/2",Values!F17,Errors!F17,Values!E17,Errors!E17)</f>
        <v>0.24556166419497624</v>
      </c>
      <c r="H17">
        <f>ERR("=TAN(G17)",Values!G17,Errors!G17)</f>
        <v>0.25616534934498225</v>
      </c>
      <c r="I17">
        <f>ERR("=A17^0.5",Values!A17,Errors!A17)</f>
        <v>4.23333849058805E-4</v>
      </c>
      <c r="J17">
        <f>ERR("=G17-PI()/4",Values!G17,Errors!G17)</f>
        <v>0.24556122154526094</v>
      </c>
      <c r="K17">
        <f>ERR("=C17/D17/A17",Values!C17,Errors!C17,Values!D17,Errors!D17,Values!A17,Errors!A17)</f>
        <v>6.5258252925509595E-6</v>
      </c>
    </row>
    <row r="18" spans="1:11" x14ac:dyDescent="0.3">
      <c r="A18">
        <v>0.01</v>
      </c>
      <c r="B18">
        <v>0.1</v>
      </c>
      <c r="C18">
        <v>1E-3</v>
      </c>
      <c r="D18">
        <f>ERR("=B18/1000",Values!B18,Errors!B18)</f>
        <v>9.9999931138414585E-5</v>
      </c>
      <c r="E18">
        <v>0.1</v>
      </c>
      <c r="F18">
        <v>0.1</v>
      </c>
      <c r="G18">
        <f>ERR("=F18/E18*PI() -PI()/2",Values!F18,Errors!F18,Values!E18,Errors!E18)</f>
        <v>0.2181662258256741</v>
      </c>
      <c r="H18">
        <f>ERR("=TAN(G18)",Values!G18,Errors!G18)</f>
        <v>0.43633274450184961</v>
      </c>
      <c r="I18">
        <f>ERR("=A18^0.5",Values!A18,Errors!A18)</f>
        <v>3.984097707827805E-4</v>
      </c>
      <c r="J18">
        <f>ERR("=G18-PI()/4",Values!G18,Errors!G18)</f>
        <v>0.21816629515207914</v>
      </c>
      <c r="K18">
        <f>ERR("=C18/D18/A18",Values!C18,Errors!C18,Values!D18,Errors!D18,Values!A18,Errors!A18)</f>
        <v>5.1612201337545792E-6</v>
      </c>
    </row>
    <row r="19" spans="1:11" x14ac:dyDescent="0.3">
      <c r="A19">
        <v>0.01</v>
      </c>
      <c r="B19">
        <v>0.1</v>
      </c>
      <c r="C19">
        <v>1E-3</v>
      </c>
      <c r="D19">
        <f>ERR("=B19/1000",Values!B19,Errors!B19)</f>
        <v>9.9999996255384601E-5</v>
      </c>
      <c r="E19">
        <v>0.1</v>
      </c>
      <c r="F19">
        <v>0.1</v>
      </c>
      <c r="G19">
        <f>ERR("=F19/E19*PI() -PI()/2",Values!F19,Errors!F19,Values!E19,Errors!E19)</f>
        <v>0.11813615904560794</v>
      </c>
      <c r="H19">
        <f>ERR("=TAN(G19)",Values!G19,Errors!G19)</f>
        <v>0.24979607951978913</v>
      </c>
      <c r="I19">
        <f>ERR("=A19^0.5",Values!A19,Errors!A19)</f>
        <v>3.7742572600015986E-4</v>
      </c>
      <c r="J19">
        <f>ERR("=G19-PI()/4",Values!G19,Errors!G19)</f>
        <v>0.11813620771857836</v>
      </c>
      <c r="K19">
        <f>ERR("=C19/D19/A19",Values!C19,Errors!C19,Values!D19,Errors!D19,Values!A19,Errors!A19)</f>
        <v>4.2329053332509593E-6</v>
      </c>
    </row>
    <row r="20" spans="1:11" x14ac:dyDescent="0.3">
      <c r="A20">
        <v>0.01</v>
      </c>
      <c r="B20">
        <v>0.1</v>
      </c>
      <c r="C20">
        <v>1E-3</v>
      </c>
      <c r="D20">
        <f>ERR("=B20/1000",Values!B20,Errors!B20)</f>
        <v>9.9999920165954706E-5</v>
      </c>
      <c r="E20">
        <v>0.1</v>
      </c>
      <c r="F20">
        <v>0.1</v>
      </c>
      <c r="G20">
        <f>ERR("=F20/E20*PI() -PI()/2",Values!F20,Errors!F20,Values!E20,Errors!E20)</f>
        <v>0.1288148893869536</v>
      </c>
      <c r="H20">
        <f>ERR("=TAN(G20)",Values!G20,Errors!G20)</f>
        <v>0.29293969971757988</v>
      </c>
      <c r="I20">
        <f>ERR("=A20^0.5",Values!A20,Errors!A20)</f>
        <v>3.5944282290756156E-4</v>
      </c>
      <c r="J20">
        <f>ERR("=G20-PI()/4",Values!G20,Errors!G20)</f>
        <v>0.12881489130098348</v>
      </c>
      <c r="K20">
        <f>ERR("=C20/D20/A20",Values!C20,Errors!C20,Values!D20,Errors!D20,Values!A20,Errors!A20)</f>
        <v>3.5730725241159046E-6</v>
      </c>
    </row>
    <row r="21" spans="1:11" x14ac:dyDescent="0.3">
      <c r="A21">
        <v>0.01</v>
      </c>
      <c r="B21">
        <v>0.1</v>
      </c>
      <c r="C21">
        <v>1E-3</v>
      </c>
      <c r="D21">
        <f>ERR("=B21/1000",Values!B21,Errors!B21)</f>
        <v>9.9999940459910092E-5</v>
      </c>
      <c r="E21">
        <v>0.1</v>
      </c>
      <c r="F21">
        <v>0.1</v>
      </c>
      <c r="G21">
        <f>ERR("=F21/E21*PI() -PI()/2",Values!F21,Errors!F21,Values!E21,Errors!E21)</f>
        <v>0.12572509035362597</v>
      </c>
      <c r="H21">
        <f>ERR("=TAN(G21)",Values!G21,Errors!G21)</f>
        <v>0.36390227819334986</v>
      </c>
      <c r="I21">
        <f>ERR("=A21^0.5",Values!A21,Errors!A21)</f>
        <v>3.535531867271402E-4</v>
      </c>
      <c r="J21">
        <f>ERR("=G21-PI()/4",Values!G21,Errors!G21)</f>
        <v>0.12572515992553776</v>
      </c>
      <c r="K21">
        <f>ERR("=C21/D21/A21",Values!C21,Errors!C21,Values!D21,Errors!D21,Values!A21,Errors!A21)</f>
        <v>3.2609129959934462E-6</v>
      </c>
    </row>
    <row r="22" spans="1:11" x14ac:dyDescent="0.3">
      <c r="A22">
        <v>0.01</v>
      </c>
      <c r="B22">
        <v>0.1</v>
      </c>
      <c r="C22">
        <v>1E-3</v>
      </c>
      <c r="D22">
        <f>ERR("=B22/1000",Values!B22,Errors!B22)</f>
        <v>1.0000002243268949E-4</v>
      </c>
      <c r="E22">
        <v>0.1</v>
      </c>
      <c r="F22">
        <v>0.1</v>
      </c>
      <c r="G22">
        <f>ERR("=F22/E22*PI() -PI()/2",Values!F22,Errors!F22,Values!E22,Errors!E22)</f>
        <v>0.13726723554680714</v>
      </c>
      <c r="H22">
        <f>ERR("=TAN(G22)",Values!G22,Errors!G22)</f>
        <v>0.3573833321967978</v>
      </c>
      <c r="I22">
        <f>ERR("=A22^0.5",Values!A22,Errors!A22)</f>
        <v>3.4299736906926706E-4</v>
      </c>
      <c r="J22">
        <f>ERR("=G22-PI()/4",Values!G22,Errors!G22)</f>
        <v>0.13726727557274249</v>
      </c>
      <c r="K22">
        <f>ERR("=C22/D22/A22",Values!C22,Errors!C22,Values!D22,Errors!D22,Values!A22,Errors!A22)</f>
        <v>3.1829541876807547E-6</v>
      </c>
    </row>
    <row r="23" spans="1:11" x14ac:dyDescent="0.3">
      <c r="A23">
        <v>0.01</v>
      </c>
      <c r="B23">
        <v>0.1</v>
      </c>
      <c r="C23">
        <v>1E-3</v>
      </c>
      <c r="D23">
        <f>ERR("=B23/1000",Values!B23,Errors!B23)</f>
        <v>1.0000001492207916E-4</v>
      </c>
      <c r="E23">
        <v>0.1</v>
      </c>
      <c r="F23">
        <v>0.1</v>
      </c>
      <c r="G23">
        <f>ERR("=F23/E23*PI() -PI()/2",Values!F23,Errors!F23,Values!E23,Errors!E23)</f>
        <v>0.18803020297412529</v>
      </c>
      <c r="H23">
        <f>ERR("=TAN(G23)",Values!G23,Errors!G23)</f>
        <v>0.79836938379593114</v>
      </c>
      <c r="I23">
        <f>ERR("=A23^0.5",Values!A23,Errors!A23)</f>
        <v>2.7734997204858629E-4</v>
      </c>
      <c r="J23">
        <f>ERR("=G23-PI()/4",Values!G23,Errors!G23)</f>
        <v>0.18803037663669059</v>
      </c>
      <c r="K23">
        <f>ERR("=C23/D23/A23",Values!C23,Errors!C23,Values!D23,Errors!D23,Values!A23,Errors!A23)</f>
        <v>1.6719309319177309E-6</v>
      </c>
    </row>
    <row r="24" spans="1:11" x14ac:dyDescent="0.3">
      <c r="A24">
        <v>0.01</v>
      </c>
      <c r="B24">
        <v>0.1</v>
      </c>
      <c r="C24">
        <v>1E-3</v>
      </c>
      <c r="D24">
        <f>ERR("=B24/1000",Values!B24,Errors!B24)</f>
        <v>1.0000004296850662E-4</v>
      </c>
      <c r="E24">
        <v>0.1</v>
      </c>
      <c r="F24">
        <v>0.1</v>
      </c>
      <c r="G24">
        <f>ERR("=F24/E24*PI() -PI()/2",Values!F24,Errors!F24,Values!E24,Errors!E24)</f>
        <v>9.1485485794148669E-2</v>
      </c>
      <c r="H24">
        <f>ERR("=TAN(G24)",Values!G24,Errors!G24)</f>
        <v>1.193736621154055</v>
      </c>
      <c r="I24">
        <f>ERR("=A24^0.5",Values!A24,Errors!A24)</f>
        <v>2.3570202579826908E-4</v>
      </c>
      <c r="J24">
        <f>ERR("=G24-PI()/4",Values!G24,Errors!G24)</f>
        <v>9.1485469883796328E-2</v>
      </c>
      <c r="K24">
        <f>ERR("=C24/D24/A24",Values!C24,Errors!C24,Values!D24,Errors!D24,Values!A24,Errors!A24)</f>
        <v>1.137186504948454E-6</v>
      </c>
    </row>
    <row r="25" spans="1:11" x14ac:dyDescent="0.3">
      <c r="A25">
        <v>0.01</v>
      </c>
      <c r="B25">
        <v>0.1</v>
      </c>
      <c r="C25">
        <v>1E-3</v>
      </c>
      <c r="D25">
        <f>ERR("=B25/1000",Values!B25,Errors!B25)</f>
        <v>9.9999975989684202E-5</v>
      </c>
      <c r="E25">
        <v>0.1</v>
      </c>
      <c r="F25">
        <v>0.1</v>
      </c>
      <c r="G25">
        <f>ERR("=F25/E25*PI() -PI()/2",Values!F25,Errors!F25,Values!E25,Errors!E25)</f>
        <v>0.11239751386345588</v>
      </c>
      <c r="H25">
        <f>ERR("=TAN(G25)",Values!G25,Errors!G25)</f>
        <v>2.4875515985901822</v>
      </c>
      <c r="I25">
        <f>ERR("=A25^0.5",Values!A25,Errors!A25)</f>
        <v>2.0851432657803775E-4</v>
      </c>
      <c r="J25">
        <f>ERR("=G25-PI()/4",Values!G25,Errors!G25)</f>
        <v>0.11239753285535961</v>
      </c>
      <c r="K25">
        <f>ERR("=C25/D25/A25",Values!C25,Errors!C25,Values!D25,Errors!D25,Values!A25,Errors!A25)</f>
        <v>8.7510038891464822E-7</v>
      </c>
    </row>
    <row r="26" spans="1:11" x14ac:dyDescent="0.3">
      <c r="A26">
        <v>0.01</v>
      </c>
      <c r="B26">
        <v>0.1</v>
      </c>
      <c r="C26">
        <v>1E-3</v>
      </c>
      <c r="D26">
        <f>ERR("=B26/1000",Values!B26,Errors!B26)</f>
        <v>1.0000010079262248E-4</v>
      </c>
      <c r="E26">
        <v>0.1</v>
      </c>
      <c r="F26">
        <v>0.1</v>
      </c>
      <c r="G26">
        <f>ERR("=F26/E26*PI() -PI()/2",Values!F26,Errors!F26,Values!E26,Errors!E26)</f>
        <v>0.13457134625435926</v>
      </c>
      <c r="H26">
        <f>ERR("=TAN(G26)",Values!G26,Errors!G26)</f>
        <v>4.4628474977410111</v>
      </c>
      <c r="I26">
        <f>ERR("=A26^0.5",Values!A26,Errors!A26)</f>
        <v>1.8898254389958829E-4</v>
      </c>
      <c r="J26">
        <f>ERR("=G26-PI()/4",Values!G26,Errors!G26)</f>
        <v>0.13457131768167113</v>
      </c>
      <c r="K26">
        <f>ERR("=C26/D26/A26",Values!C26,Errors!C26,Values!D26,Errors!D26,Values!A26,Errors!A26)</f>
        <v>7.2249660137711466E-7</v>
      </c>
    </row>
    <row r="27" spans="1:11" x14ac:dyDescent="0.3">
      <c r="A27">
        <v>0.01</v>
      </c>
      <c r="B27">
        <v>0.1</v>
      </c>
      <c r="C27">
        <v>1E-3</v>
      </c>
      <c r="D27">
        <f>ERR("=B27/1000",Values!B27,Errors!B27)</f>
        <v>1.0000001515084867E-4</v>
      </c>
      <c r="E27">
        <v>0.1</v>
      </c>
      <c r="F27">
        <v>0.1</v>
      </c>
      <c r="G27">
        <f>ERR("=F27/E27*PI() -PI()/2",Values!F27,Errors!F27,Values!E27,Errors!E27)</f>
        <v>0.14809614499892146</v>
      </c>
      <c r="H27">
        <f>ERR("=TAN(G27)",Values!G27,Errors!G27)</f>
        <v>6.0021087743816202E+18</v>
      </c>
      <c r="I27">
        <f>ERR("=A27^0.5",Values!A27,Errors!A27)</f>
        <v>1.7407780267769172E-4</v>
      </c>
      <c r="J27">
        <f>ERR("=G27-PI()/4",Values!G27,Errors!G27)</f>
        <v>0.14809619205924562</v>
      </c>
      <c r="K27">
        <f>ERR("=C27/D27/A27",Values!C27,Errors!C27,Values!D27,Errors!D27,Values!A27,Errors!A27)</f>
        <v>6.2400090596514373E-7</v>
      </c>
    </row>
    <row r="28" spans="1:11" x14ac:dyDescent="0.3">
      <c r="A28">
        <v>0.01</v>
      </c>
      <c r="B28">
        <v>0.1</v>
      </c>
      <c r="C28">
        <v>1E-3</v>
      </c>
      <c r="D28">
        <f>ERR("=B28/1000",Values!B28,Errors!B28)</f>
        <v>9.9999923783380184E-5</v>
      </c>
      <c r="E28">
        <v>0.1</v>
      </c>
      <c r="F28">
        <v>0.1</v>
      </c>
      <c r="G28">
        <f>ERR("=F28/E28*PI() -PI()/2",Values!F28,Errors!F28,Values!E28,Errors!E28)</f>
        <v>8.5440083653223906E-2</v>
      </c>
      <c r="H28">
        <f>ERR("=TAN(G28)",Values!G28,Errors!G28)</f>
        <v>3.4627550621432417E+18</v>
      </c>
      <c r="I28">
        <f>ERR("=A28^0.5",Values!A28,Errors!A28)</f>
        <v>1.6222139421236199E-4</v>
      </c>
      <c r="J28">
        <f>ERR("=G28-PI()/4",Values!G28,Errors!G28)</f>
        <v>8.5440110803410935E-2</v>
      </c>
      <c r="K28">
        <f>ERR("=C28/D28/A28",Values!C28,Errors!C28,Values!D28,Errors!D28,Values!A28,Errors!A28)</f>
        <v>5.5460116216775438E-7</v>
      </c>
    </row>
    <row r="29" spans="1:11" x14ac:dyDescent="0.3">
      <c r="A29">
        <v>0.01</v>
      </c>
      <c r="B29">
        <v>0.1</v>
      </c>
      <c r="C29">
        <v>1E-3</v>
      </c>
      <c r="D29">
        <f>ERR("=B29/1000",Values!B29,Errors!B29)</f>
        <v>1.0000003033144819E-4</v>
      </c>
      <c r="E29">
        <v>0.1</v>
      </c>
      <c r="F29">
        <v>0.1</v>
      </c>
      <c r="G29">
        <f>ERR("=F29/E29*PI() -PI()/2",Values!F29,Errors!F29,Values!E29,Errors!E29)</f>
        <v>7.7945339473116548E-2</v>
      </c>
      <c r="H29">
        <f>ERR("=TAN(G29)",Values!G29,Errors!G29)</f>
        <v>3.1590046180955889E+18</v>
      </c>
      <c r="I29">
        <f>ERR("=A29^0.5",Values!A29,Errors!A29)</f>
        <v>1.5249866485879296E-4</v>
      </c>
      <c r="J29">
        <f>ERR("=G29-PI()/4",Values!G29,Errors!G29)</f>
        <v>7.7945364241708226E-2</v>
      </c>
      <c r="K29">
        <f>ERR("=C29/D29/A29",Values!C29,Errors!C29,Values!D29,Errors!D29,Values!A29,Errors!A29)</f>
        <v>5.0455861672934018E-7</v>
      </c>
    </row>
    <row r="30" spans="1:11" x14ac:dyDescent="0.3">
      <c r="A30">
        <v>0.01</v>
      </c>
      <c r="B30">
        <v>0.1</v>
      </c>
      <c r="C30">
        <v>1E-3</v>
      </c>
      <c r="D30">
        <f>ERR("=B30/1000",Values!B30,Errors!B30)</f>
        <v>1.0000003873747376E-4</v>
      </c>
      <c r="E30">
        <v>0.1</v>
      </c>
      <c r="F30">
        <v>0.1</v>
      </c>
      <c r="G30">
        <f>ERR("=F30/E30*PI() -PI()/2",Values!F30,Errors!F30,Values!E30,Errors!E30)</f>
        <v>0.10578296071351533</v>
      </c>
      <c r="H30">
        <f>ERR("=TAN(G30)",Values!G30,Errors!G30)</f>
        <v>4.2872205531297285E+18</v>
      </c>
      <c r="I30">
        <f>ERR("=A30^0.5",Values!A30,Errors!A30)</f>
        <v>1.4433757892599411E-4</v>
      </c>
      <c r="J30">
        <f>ERR("=G30-PI()/4",Values!G30,Errors!G30)</f>
        <v>0.10578299432803259</v>
      </c>
      <c r="K30">
        <f>ERR("=C30/D30/A30",Values!C30,Errors!C30,Values!D30,Errors!D30,Values!A30,Errors!A30)</f>
        <v>4.6701926054963806E-7</v>
      </c>
    </row>
    <row r="32" spans="1:11" x14ac:dyDescent="0.3">
      <c r="A32" t="s">
        <v>0</v>
      </c>
      <c r="B32" t="s">
        <v>1</v>
      </c>
      <c r="C32" t="s">
        <v>2</v>
      </c>
      <c r="D32" t="s">
        <v>4</v>
      </c>
      <c r="E32" t="s">
        <v>7</v>
      </c>
      <c r="F32" s="1" t="s">
        <v>8</v>
      </c>
      <c r="G32" t="s">
        <v>11</v>
      </c>
      <c r="H32" t="s">
        <v>12</v>
      </c>
      <c r="I32" t="s">
        <v>3</v>
      </c>
    </row>
    <row r="33" spans="1:9" x14ac:dyDescent="0.3">
      <c r="A33">
        <v>0.01</v>
      </c>
      <c r="B33">
        <v>0.1</v>
      </c>
      <c r="C33">
        <v>1E-3</v>
      </c>
      <c r="D33">
        <f>ERR("=B33/1000",Values!B33,Errors!B33)</f>
        <v>9.9999831995614252E-5</v>
      </c>
      <c r="E33">
        <v>0.1</v>
      </c>
      <c r="F33">
        <v>0.1</v>
      </c>
      <c r="G33">
        <f>ERR("=A33^0.5",Values!A33,Errors!A33)</f>
        <v>1.4907123436892612E-4</v>
      </c>
      <c r="H33">
        <f>ERR("=F33/E33*PI()-PI()/2 - PI()/4",Values!F33,Errors!F33,Values!E33,Errors!E33)</f>
        <v>9.873076333261431E-2</v>
      </c>
      <c r="I33">
        <f>ERR("=C33/D33/A33",Values!C33,Errors!C33,Values!D33,Errors!D33,Values!A33,Errors!A33)</f>
        <v>4.8939207927074348E-7</v>
      </c>
    </row>
    <row r="34" spans="1:9" x14ac:dyDescent="0.3">
      <c r="A34">
        <v>0.01</v>
      </c>
      <c r="B34">
        <v>0.1</v>
      </c>
      <c r="C34">
        <v>1E-3</v>
      </c>
      <c r="D34">
        <f>ERR("=B34/1000",Values!B34,Errors!B34)</f>
        <v>9.9999974630915134E-5</v>
      </c>
      <c r="E34">
        <v>0.1</v>
      </c>
      <c r="F34">
        <v>0.1</v>
      </c>
      <c r="G34">
        <f>ERR("=A34^0.5",Values!A34,Errors!A34)</f>
        <v>1.3339264054742399E-4</v>
      </c>
      <c r="H34">
        <f>ERR("=F34/E34*PI()-PI()/2 - PI()/4",Values!F34,Errors!F34,Values!E34,Errors!E34)</f>
        <v>0.12341345416576789</v>
      </c>
      <c r="I34">
        <f>ERR("=C34/D34/A34",Values!C34,Errors!C34,Values!D34,Errors!D34,Values!A34,Errors!A34)</f>
        <v>4.2223966924166709E-7</v>
      </c>
    </row>
    <row r="35" spans="1:9" x14ac:dyDescent="0.3">
      <c r="A35">
        <v>0.01</v>
      </c>
      <c r="B35">
        <v>0.1</v>
      </c>
      <c r="C35">
        <v>1E-3</v>
      </c>
      <c r="D35">
        <f>ERR("=B35/1000",Values!B35,Errors!B35)</f>
        <v>9.9999995347123247E-5</v>
      </c>
      <c r="E35">
        <v>0.1</v>
      </c>
      <c r="F35">
        <v>0.1</v>
      </c>
      <c r="G35">
        <f>ERR("=A35^0.5",Values!A35,Errors!A35)</f>
        <v>1.1935255569553445E-4</v>
      </c>
      <c r="H35">
        <f>ERR("=F35/E35*PI()-PI()/2 - PI()/4",Values!F35,Errors!F35,Values!E35,Errors!E35)</f>
        <v>0.15867444107027298</v>
      </c>
      <c r="I35">
        <f>ERR("=C35/D35/A35",Values!C35,Errors!C35,Values!D35,Errors!D35,Values!A35,Errors!A35)</f>
        <v>3.7559538866125761E-7</v>
      </c>
    </row>
    <row r="36" spans="1:9" x14ac:dyDescent="0.3">
      <c r="A36">
        <v>0.01</v>
      </c>
      <c r="B36">
        <v>0.1</v>
      </c>
      <c r="C36">
        <v>1E-3</v>
      </c>
      <c r="D36">
        <f>ERR("=B36/1000",Values!B36,Errors!B36)</f>
        <v>1.0000004111082211E-4</v>
      </c>
      <c r="E36">
        <v>0.1</v>
      </c>
      <c r="F36">
        <v>0.1</v>
      </c>
      <c r="G36">
        <f>ERR("=A36^0.5",Values!A36,Errors!A36)</f>
        <v>1.0660030434130682E-4</v>
      </c>
      <c r="H36">
        <f>ERR("=F36/E36*PI()-PI()/2 - PI()/4",Values!F36,Errors!F36,Values!E36,Errors!E36)</f>
        <v>8.7939234817487152E-2</v>
      </c>
      <c r="I36">
        <f>ERR("=C36/D36/A36",Values!C36,Errors!C36,Values!D36,Errors!D36,Values!A36,Errors!A36)</f>
        <v>3.4359215059278414E-7</v>
      </c>
    </row>
    <row r="37" spans="1:9" x14ac:dyDescent="0.3">
      <c r="A37">
        <v>0.01</v>
      </c>
      <c r="B37">
        <v>0.1</v>
      </c>
      <c r="C37">
        <v>1E-3</v>
      </c>
      <c r="D37">
        <f>ERR("=B37/1000",Values!B37,Errors!B37)</f>
        <v>1.0000004451277085E-4</v>
      </c>
      <c r="E37">
        <v>0.1</v>
      </c>
      <c r="F37">
        <v>0.1</v>
      </c>
      <c r="G37">
        <f>ERR("=A37^0.5",Values!A37,Errors!A37)</f>
        <v>9.5346179436587989E-5</v>
      </c>
      <c r="H37">
        <f>ERR("=F37/E37*PI()-PI()/2 - PI()/4",Values!F37,Errors!F37,Values!E37,Errors!E37)</f>
        <v>0.10566453315685684</v>
      </c>
      <c r="I37">
        <f>ERR("=C37/D37/A37",Values!C37,Errors!C37,Values!D37,Errors!D37,Values!A37,Errors!A37)</f>
        <v>3.2424499090661419E-7</v>
      </c>
    </row>
    <row r="38" spans="1:9" x14ac:dyDescent="0.3">
      <c r="A38">
        <v>0.01</v>
      </c>
      <c r="B38">
        <v>0.1</v>
      </c>
      <c r="C38">
        <v>1E-3</v>
      </c>
      <c r="D38">
        <f>ERR("=B38/1000",Values!B38,Errors!B38)</f>
        <v>1.0000009884075361E-4</v>
      </c>
      <c r="E38">
        <v>0.1</v>
      </c>
      <c r="F38">
        <v>0.1</v>
      </c>
      <c r="G38">
        <f>ERR("=A38^0.5",Values!A38,Errors!A38)</f>
        <v>8.5373470521766701E-5</v>
      </c>
      <c r="H38">
        <f>ERR("=F38/E38*PI()-PI()/2 - PI()/4",Values!F38,Errors!F38,Values!E38,Errors!E38)</f>
        <v>0.12865876226027542</v>
      </c>
      <c r="I38">
        <f>ERR("=C38/D38/A38",Values!C38,Errors!C38,Values!D38,Errors!D38,Values!A38,Errors!A38)</f>
        <v>3.1456012078935301E-7</v>
      </c>
    </row>
    <row r="39" spans="1:9" x14ac:dyDescent="0.3">
      <c r="A39">
        <v>0.01</v>
      </c>
      <c r="B39">
        <v>0.1</v>
      </c>
      <c r="C39">
        <v>1E-3</v>
      </c>
      <c r="D39">
        <f>ERR("=B39/1000",Values!B39,Errors!B39)</f>
        <v>9.9999954979558854E-5</v>
      </c>
      <c r="E39">
        <v>0.1</v>
      </c>
      <c r="F39">
        <v>0.1</v>
      </c>
      <c r="G39">
        <f>ERR("=A39^0.5",Values!A39,Errors!A39)</f>
        <v>7.6337962110621435E-5</v>
      </c>
      <c r="H39">
        <f>ERR("=F39/E39*PI()-PI()/2 - PI()/4",Values!F39,Errors!F39,Values!E39,Errors!E39)</f>
        <v>0.14777572382063878</v>
      </c>
      <c r="I39">
        <f>ERR("=C39/D39/A39",Values!C39,Errors!C39,Values!D39,Errors!D39,Values!A39,Errors!A39)</f>
        <v>3.1458987750020699E-7</v>
      </c>
    </row>
    <row r="40" spans="1:9" x14ac:dyDescent="0.3">
      <c r="A40">
        <v>0.01</v>
      </c>
      <c r="B40">
        <v>0.1</v>
      </c>
      <c r="C40">
        <v>1E-3</v>
      </c>
      <c r="D40">
        <f>ERR("=B40/1000",Values!B40,Errors!B40)</f>
        <v>9.9999919987070997E-5</v>
      </c>
      <c r="E40">
        <v>0.1</v>
      </c>
      <c r="F40">
        <v>0.1</v>
      </c>
      <c r="G40">
        <f>ERR("=A40^0.5",Values!A40,Errors!A40)</f>
        <v>6.8269327551285852E-5</v>
      </c>
      <c r="H40">
        <f>ERR("=F40/E40*PI()-PI()/2 - PI()/4",Values!F40,Errors!F40,Values!E40,Errors!E40)</f>
        <v>7.3239867547765916E-2</v>
      </c>
      <c r="I40">
        <f>ERR("=C40/D40/A40",Values!C40,Errors!C40,Values!D40,Errors!D40,Values!A40,Errors!A40)</f>
        <v>3.2351606975568744E-7</v>
      </c>
    </row>
    <row r="41" spans="1:9" x14ac:dyDescent="0.3">
      <c r="A41">
        <v>0.01</v>
      </c>
      <c r="B41">
        <v>0.1</v>
      </c>
      <c r="C41">
        <v>1E-3</v>
      </c>
      <c r="D41">
        <f>ERR("=B41/1000",Values!B41,Errors!B41)</f>
        <v>9.9999963750215933E-5</v>
      </c>
      <c r="E41">
        <v>0.1</v>
      </c>
      <c r="F41">
        <v>0.1</v>
      </c>
      <c r="G41">
        <f>ERR("=A41^0.5",Values!A41,Errors!A41)</f>
        <v>6.1061955061425172E-5</v>
      </c>
      <c r="H41">
        <f>ERR("=F41/E41*PI()-PI()/2 - PI()/4",Values!F41,Errors!F41,Values!E41,Errors!E41)</f>
        <v>8.7646740905939116E-2</v>
      </c>
      <c r="I41">
        <f>ERR("=C41/D41/A41",Values!C41,Errors!C41,Values!D41,Errors!D41,Values!A41,Errors!A41)</f>
        <v>3.3919389200992341E-7</v>
      </c>
    </row>
    <row r="42" spans="1:9" x14ac:dyDescent="0.3">
      <c r="A42">
        <v>0.01</v>
      </c>
      <c r="B42">
        <v>0.1</v>
      </c>
      <c r="C42">
        <v>1E-3</v>
      </c>
      <c r="D42">
        <f>ERR("=B42/1000",Values!B42,Errors!B42)</f>
        <v>1.0000004213316625E-4</v>
      </c>
      <c r="E42">
        <v>0.1</v>
      </c>
      <c r="F42">
        <v>0.1</v>
      </c>
      <c r="G42">
        <f>ERR("=A42^0.5",Values!A42,Errors!A42)</f>
        <v>5.4603154304422828E-5</v>
      </c>
      <c r="H42">
        <f>ERR("=F42/E42*PI()-PI()/2 - PI()/4",Values!F42,Errors!F42,Values!E42,Errors!E42)</f>
        <v>0.1016291620697011</v>
      </c>
      <c r="I42">
        <f>ERR("=C42/D42/A42",Values!C42,Errors!C42,Values!D42,Errors!D42,Values!A42,Errors!A42)</f>
        <v>3.7278833111164008E-7</v>
      </c>
    </row>
    <row r="43" spans="1:9" x14ac:dyDescent="0.3">
      <c r="A43">
        <v>0.01</v>
      </c>
      <c r="B43">
        <v>0.1</v>
      </c>
      <c r="C43">
        <v>1E-3</v>
      </c>
      <c r="D43">
        <f>ERR("=B43/1000",Values!B43,Errors!B43)</f>
        <v>9.9999989619576908E-5</v>
      </c>
      <c r="E43">
        <v>0.1</v>
      </c>
      <c r="F43">
        <v>0.1</v>
      </c>
      <c r="G43">
        <f>ERR("=A43^0.5",Values!A43,Errors!A43)</f>
        <v>4.885311990530815E-5</v>
      </c>
      <c r="H43">
        <f>ERR("=F43/E43*PI()-PI()/2 - PI()/4",Values!F43,Errors!F43,Values!E43,Errors!E43)</f>
        <v>5.6550444440095458E-2</v>
      </c>
      <c r="I43">
        <f>ERR("=C43/D43/A43",Values!C43,Errors!C43,Values!D43,Errors!D43,Values!A43,Errors!A43)</f>
        <v>4.1901987122706048E-7</v>
      </c>
    </row>
    <row r="44" spans="1:9" x14ac:dyDescent="0.3">
      <c r="A44">
        <v>0.01</v>
      </c>
      <c r="B44">
        <v>0.1</v>
      </c>
      <c r="C44">
        <v>1E-3</v>
      </c>
      <c r="D44">
        <f>ERR("=B44/1000",Values!B44,Errors!B44)</f>
        <v>1.0000010079262248E-4</v>
      </c>
      <c r="E44">
        <v>0.1</v>
      </c>
      <c r="F44">
        <v>0.1</v>
      </c>
      <c r="G44">
        <f>ERR("=A44^0.5",Values!A44,Errors!A44)</f>
        <v>4.3691867472803644E-5</v>
      </c>
      <c r="H44">
        <f>ERR("=F44/E44*PI()-PI()/2 - PI()/4",Values!F44,Errors!F44,Values!E44,Errors!E44)</f>
        <v>6.7796379464401355E-2</v>
      </c>
      <c r="I44">
        <f>ERR("=C44/D44/A44",Values!C44,Errors!C44,Values!D44,Errors!D44,Values!A44,Errors!A44)</f>
        <v>4.9303583641947534E-7</v>
      </c>
    </row>
    <row r="45" spans="1:9" x14ac:dyDescent="0.3">
      <c r="A45">
        <v>0.01</v>
      </c>
      <c r="B45">
        <v>0.1</v>
      </c>
      <c r="C45">
        <v>1E-3</v>
      </c>
      <c r="D45">
        <f>ERR("=B45/1000",Values!B45,Errors!B45)</f>
        <v>9.9999968978508897E-5</v>
      </c>
      <c r="E45">
        <v>0.1</v>
      </c>
      <c r="F45">
        <v>0.1</v>
      </c>
      <c r="G45">
        <f>ERR("=A45^0.5",Values!A45,Errors!A45)</f>
        <v>3.9079199389161259E-5</v>
      </c>
      <c r="H45">
        <f>ERR("=F45/E45*PI()-PI()/2 - PI()/4",Values!F45,Errors!F45,Values!E45,Errors!E45)</f>
        <v>7.7181602178427858E-2</v>
      </c>
      <c r="I45">
        <f>ERR("=C45/D45/A45",Values!C45,Errors!C45,Values!D45,Errors!D45,Values!A45,Errors!A45)</f>
        <v>5.7426057251822468E-7</v>
      </c>
    </row>
    <row r="46" spans="1:9" x14ac:dyDescent="0.3">
      <c r="A46">
        <v>0.01</v>
      </c>
      <c r="B46">
        <v>0.1</v>
      </c>
      <c r="C46">
        <v>1E-3</v>
      </c>
      <c r="D46">
        <f>ERR("=B46/1000",Values!B46,Errors!B46)</f>
        <v>1.0000008812866323E-4</v>
      </c>
      <c r="E46">
        <v>0.1</v>
      </c>
      <c r="F46">
        <v>0.1</v>
      </c>
      <c r="G46">
        <f>ERR("=A46^0.5",Values!A46,Errors!A46)</f>
        <v>3.4955646501608717E-5</v>
      </c>
      <c r="H46">
        <f>ERR("=F46/E46*PI()-PI()/2 - PI()/4",Values!F46,Errors!F46,Values!E46,Errors!E46)</f>
        <v>8.6150801102813881E-2</v>
      </c>
      <c r="I46">
        <f>ERR("=C46/D46/A46",Values!C46,Errors!C46,Values!D46,Errors!D46,Values!A46,Errors!A46)</f>
        <v>6.3461225250495976E-7</v>
      </c>
    </row>
    <row r="47" spans="1:9" x14ac:dyDescent="0.3">
      <c r="A47">
        <v>0.01</v>
      </c>
      <c r="B47">
        <v>0.1</v>
      </c>
      <c r="C47">
        <v>1E-3</v>
      </c>
      <c r="D47">
        <f>ERR("=B47/1000",Values!B47,Errors!B47)</f>
        <v>9.9999995045430901E-5</v>
      </c>
      <c r="E47">
        <v>0.1</v>
      </c>
      <c r="F47">
        <v>0.1</v>
      </c>
      <c r="G47">
        <f>ERR("=A47^0.5",Values!A47,Errors!A47)</f>
        <v>3.1262213736847631E-5</v>
      </c>
      <c r="H47">
        <f>ERR("=F47/E47*PI()-PI()/2 - PI()/4",Values!F47,Errors!F47,Values!E47,Errors!E47)</f>
        <v>0.10338096132337665</v>
      </c>
      <c r="I47">
        <f>ERR("=C47/D47/A47",Values!C47,Errors!C47,Values!D47,Errors!D47,Values!A47,Errors!A47)</f>
        <v>5.4364240158068634E-7</v>
      </c>
    </row>
    <row r="48" spans="1:9" x14ac:dyDescent="0.3">
      <c r="A48">
        <v>0.01</v>
      </c>
      <c r="B48">
        <v>0.1</v>
      </c>
      <c r="C48">
        <v>1E-3</v>
      </c>
      <c r="D48">
        <f>ERR("=B48/1000",Values!B48,Errors!B48)</f>
        <v>9.9999967227059068E-5</v>
      </c>
      <c r="E48">
        <v>0.1</v>
      </c>
      <c r="F48">
        <v>0.1</v>
      </c>
      <c r="G48">
        <f>ERR("=A48^0.5",Values!A48,Errors!A48)</f>
        <v>2.7950841641199983E-5</v>
      </c>
      <c r="H48">
        <f>ERR("=F48/E48*PI()-PI()/2 - PI()/4",Values!F48,Errors!F48,Values!E48,Errors!E48)</f>
        <v>6.4613060867716732E-2</v>
      </c>
      <c r="I48">
        <f>ERR("=C48/D48/A48",Values!C48,Errors!C48,Values!D48,Errors!D48,Values!A48,Errors!A48)</f>
        <v>4.2561132086777401E-7</v>
      </c>
    </row>
    <row r="51" spans="1:4" x14ac:dyDescent="0.3">
      <c r="A51" t="s">
        <v>0</v>
      </c>
      <c r="B51" t="s">
        <v>14</v>
      </c>
      <c r="C51" t="s">
        <v>6</v>
      </c>
      <c r="D51" t="s">
        <v>15</v>
      </c>
    </row>
    <row r="52" spans="1:4" x14ac:dyDescent="0.3">
      <c r="A52">
        <v>0.1</v>
      </c>
      <c r="B52">
        <v>0.01</v>
      </c>
      <c r="C52">
        <f>ERR("=A52^2",Values!A52,Errors!A52)</f>
        <v>8.000000661922968</v>
      </c>
      <c r="D52" t="e">
        <f>ERR("=(10.2 - B52)*(B52-2.87)^(-1)",Values!B52,Errors!B52,Values!B52,Errors!B52)</f>
        <v>#VALUE!</v>
      </c>
    </row>
    <row r="53" spans="1:4" x14ac:dyDescent="0.3">
      <c r="A53">
        <v>0.1</v>
      </c>
      <c r="B53">
        <v>0.01</v>
      </c>
      <c r="C53">
        <f>ERR("=A53^2",Values!A53,Errors!A53)</f>
        <v>30.000034409264721</v>
      </c>
      <c r="D53" t="e">
        <f>ERR("=(10.2 - B53)*(B53-2.87)^(-1)",Values!B53,Errors!B53,Values!B53,Errors!B53)</f>
        <v>#VALUE!</v>
      </c>
    </row>
    <row r="54" spans="1:4" x14ac:dyDescent="0.3">
      <c r="A54">
        <v>0.1</v>
      </c>
      <c r="B54">
        <v>0.01</v>
      </c>
      <c r="C54">
        <f>ERR("=A54^2",Values!A54,Errors!A54)</f>
        <v>49.999973271042109</v>
      </c>
      <c r="D54" t="e">
        <f>ERR("=(10.2 - B54)*(B54-2.87)^(-1)",Values!B54,Errors!B54,Values!B54,Errors!B54)</f>
        <v>#VALUE!</v>
      </c>
    </row>
    <row r="55" spans="1:4" x14ac:dyDescent="0.3">
      <c r="A55">
        <v>0.1</v>
      </c>
      <c r="B55">
        <v>0.01</v>
      </c>
      <c r="C55">
        <f>ERR("=A55^2",Values!A55,Errors!A55)</f>
        <v>60.000068818529442</v>
      </c>
      <c r="D55" t="e">
        <f>ERR("=(10.2 - B55)*(B55-2.87)^(-1)",Values!B55,Errors!B55,Values!B55,Errors!B55)</f>
        <v>#VALUE!</v>
      </c>
    </row>
    <row r="56" spans="1:4" x14ac:dyDescent="0.3">
      <c r="A56">
        <v>0.1</v>
      </c>
      <c r="B56">
        <v>0.01</v>
      </c>
      <c r="C56">
        <f>ERR("=A56^2",Values!A56,Errors!A56)</f>
        <v>79.999954323284328</v>
      </c>
      <c r="D56" t="e">
        <f>ERR("=(10.2 - B56)*(B56-2.87)^(-1)",Values!B56,Errors!B56,Values!B56,Errors!B56)</f>
        <v>#VALUE!</v>
      </c>
    </row>
    <row r="57" spans="1:4" x14ac:dyDescent="0.3">
      <c r="A57">
        <v>0.1</v>
      </c>
      <c r="B57">
        <v>0.01</v>
      </c>
      <c r="C57">
        <f>ERR("=A57^2",Values!A57,Errors!A57)</f>
        <v>99.999946542084217</v>
      </c>
      <c r="D57" t="e">
        <f>ERR("=(10.2 - B57)*(B57-2.87)^(-1)",Values!B57,Errors!B57,Values!B57,Errors!B57)</f>
        <v>#VALUE!</v>
      </c>
    </row>
    <row r="58" spans="1:4" x14ac:dyDescent="0.3">
      <c r="A58">
        <v>0.1</v>
      </c>
      <c r="B58">
        <v>0.01</v>
      </c>
      <c r="C58">
        <f>ERR("=A58^2",Values!A58,Errors!A58)</f>
        <v>120.00013763705888</v>
      </c>
      <c r="D58" t="e">
        <f>ERR("=(10.2 - B58)*(B58-2.87)^(-1)",Values!B58,Errors!B58,Values!B58,Errors!B58)</f>
        <v>#VALUE!</v>
      </c>
    </row>
    <row r="59" spans="1:4" x14ac:dyDescent="0.3">
      <c r="A59">
        <v>0.1</v>
      </c>
      <c r="B59">
        <v>0.01</v>
      </c>
      <c r="C59">
        <f>ERR("=A59^2",Values!A59,Errors!A59)</f>
        <v>159.99990864656866</v>
      </c>
      <c r="D59" t="e">
        <f>ERR("=(10.2 - B59)*(B59-2.87)^(-1)",Values!B59,Errors!B59,Values!B59,Errors!B59)</f>
        <v>#VALUE!</v>
      </c>
    </row>
    <row r="60" spans="1:4" x14ac:dyDescent="0.3">
      <c r="A60">
        <v>0.1</v>
      </c>
      <c r="B60">
        <v>0.01</v>
      </c>
      <c r="C60">
        <f>ERR("=A60^2",Values!A60,Errors!A60)</f>
        <v>300.0001112620036</v>
      </c>
      <c r="D60" t="e">
        <f>ERR("=(10.2 - B60)*(B60-2.87)^(-1)",Values!B60,Errors!B60,Values!B60,Errors!B60)</f>
        <v>#VALUE!</v>
      </c>
    </row>
    <row r="61" spans="1:4" x14ac:dyDescent="0.3">
      <c r="A61">
        <v>0.1</v>
      </c>
      <c r="B61">
        <v>0.01</v>
      </c>
      <c r="C61">
        <f>ERR("=A61^2",Values!A61,Errors!A61)</f>
        <v>399.99978616833687</v>
      </c>
      <c r="D61" t="e">
        <f>ERR("=(10.2 - B61)*(B61-2.87)^(-1)",Values!B61,Errors!B61,Values!B61,Errors!B61)</f>
        <v>#VALUE!</v>
      </c>
    </row>
    <row r="62" spans="1:4" x14ac:dyDescent="0.3">
      <c r="A62">
        <v>0.1</v>
      </c>
      <c r="B62">
        <v>0.01</v>
      </c>
      <c r="C62">
        <f>ERR("=A62^2",Values!A62,Errors!A62)</f>
        <v>500.00026822090149</v>
      </c>
      <c r="D62" t="e">
        <f>ERR("=(10.2 - B62)*(B62-2.87)^(-1)",Values!B62,Errors!B62,Values!B62,Errors!B62)</f>
        <v>#VALUE!</v>
      </c>
    </row>
    <row r="63" spans="1:4" x14ac:dyDescent="0.3">
      <c r="A63">
        <v>0.1</v>
      </c>
      <c r="B63">
        <v>0.01</v>
      </c>
      <c r="C63">
        <f>ERR("=A63^2",Values!A63,Errors!A63)</f>
        <v>600.0002225240072</v>
      </c>
      <c r="D63" t="e">
        <f>ERR("=(10.2 - B63)*(B63-2.87)^(-1)",Values!B63,Errors!B63,Values!B63,Errors!B63)</f>
        <v>#VALUE!</v>
      </c>
    </row>
    <row r="64" spans="1:4" x14ac:dyDescent="0.3">
      <c r="A64">
        <v>0.1</v>
      </c>
      <c r="B64">
        <v>0.01</v>
      </c>
      <c r="C64">
        <f>ERR("=A64^2",Values!A64,Errors!A64)</f>
        <v>799.99957233667374</v>
      </c>
    </row>
    <row r="65" spans="1:4" x14ac:dyDescent="0.3">
      <c r="A65">
        <v>0.1</v>
      </c>
      <c r="B65">
        <v>0.01</v>
      </c>
      <c r="C65">
        <f>ERR("=A65^2",Values!A65,Errors!A65)</f>
        <v>1200.0004450480144</v>
      </c>
      <c r="D65" t="e">
        <f>ERR("=(10.2 - B65)*(B65-2.87)^(-1)",Values!B65,Errors!B65,Values!B65,Errors!B65)</f>
        <v>#VALUE!</v>
      </c>
    </row>
    <row r="66" spans="1:4" x14ac:dyDescent="0.3">
      <c r="A66">
        <v>0.1</v>
      </c>
      <c r="B66">
        <v>0.01</v>
      </c>
      <c r="C66">
        <f>ERR("=A66^2",Values!A66,Errors!A66)</f>
        <v>2400.0008900960288</v>
      </c>
      <c r="D66" t="e">
        <f>ERR("=(10.2 - B66)*(B66-2.87)^(-1)",Values!B66,Errors!B66,Values!B66,Errors!B66)</f>
        <v>#VALUE!</v>
      </c>
    </row>
    <row r="67" spans="1:4" x14ac:dyDescent="0.3">
      <c r="A67">
        <v>0.1</v>
      </c>
      <c r="B67">
        <v>0.01</v>
      </c>
      <c r="C67">
        <f>ERR("=A67^2",Values!A67,Errors!A67)</f>
        <v>3000.0011126200357</v>
      </c>
      <c r="D67" t="e">
        <f>ERR("=(10.2 - B67)*(B67-2.87)^(-1)",Values!B67,Errors!B67,Values!B67,Errors!B67)</f>
        <v>#VALUE!</v>
      </c>
    </row>
    <row r="68" spans="1:4" x14ac:dyDescent="0.3">
      <c r="A68">
        <v>0.1</v>
      </c>
      <c r="B68">
        <v>0.01</v>
      </c>
      <c r="C68">
        <f>ERR("=A68^2",Values!A68,Errors!A68)</f>
        <v>4000.0021457672119</v>
      </c>
      <c r="D68" t="e">
        <f>ERR("=(10.2 - B68)*(B68-2.87)^(-1)",Values!B68,Errors!B68,Values!B68,Errors!B68)</f>
        <v>#VALUE!</v>
      </c>
    </row>
    <row r="69" spans="1:4" x14ac:dyDescent="0.3">
      <c r="A69">
        <v>0.1</v>
      </c>
      <c r="B69">
        <v>0.01</v>
      </c>
      <c r="C69">
        <f>ERR("=A69^2",Values!A69,Errors!A69)</f>
        <v>5000</v>
      </c>
      <c r="D69" t="e">
        <f>ERR("=(10.2 - B69)*(B69-2.87)^(-1)",Values!B69,Errors!B69,Values!B69,Errors!B69)</f>
        <v>#VALUE!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Values</vt:lpstr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Шахматов</dc:creator>
  <cp:lastModifiedBy>Андрей Шахматов</cp:lastModifiedBy>
  <dcterms:created xsi:type="dcterms:W3CDTF">2015-06-05T18:19:34Z</dcterms:created>
  <dcterms:modified xsi:type="dcterms:W3CDTF">2024-11-04T13:36:36Z</dcterms:modified>
</cp:coreProperties>
</file>