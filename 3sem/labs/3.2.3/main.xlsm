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A37F47AD-8192-411C-BFF6-F5FE2331C43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2" l="1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U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C8" i="2"/>
  <c r="C3" i="2"/>
  <c r="C4" i="2"/>
  <c r="C5" i="2"/>
  <c r="C6" i="2"/>
  <c r="C7" i="2"/>
  <c r="C2" i="2"/>
  <c r="M30" i="3"/>
  <c r="M24" i="3"/>
  <c r="M25" i="3"/>
  <c r="M26" i="3"/>
  <c r="M27" i="3"/>
  <c r="M28" i="3"/>
  <c r="M29" i="3"/>
  <c r="M23" i="3"/>
  <c r="N28" i="3"/>
  <c r="L28" i="3"/>
  <c r="G29" i="3"/>
  <c r="G24" i="3"/>
  <c r="G25" i="3"/>
  <c r="G26" i="3"/>
  <c r="G27" i="3"/>
  <c r="G28" i="3"/>
  <c r="G23" i="3"/>
  <c r="N24" i="3"/>
  <c r="N25" i="3"/>
  <c r="N26" i="3"/>
  <c r="N27" i="3"/>
  <c r="P27" i="3" s="1"/>
  <c r="P28" i="3"/>
  <c r="N29" i="3"/>
  <c r="N23" i="3"/>
  <c r="F24" i="2"/>
  <c r="F25" i="2"/>
  <c r="F26" i="2"/>
  <c r="F27" i="2"/>
  <c r="F28" i="2"/>
  <c r="F29" i="2"/>
  <c r="F23" i="2"/>
  <c r="E24" i="2"/>
  <c r="E25" i="2"/>
  <c r="E26" i="2"/>
  <c r="E27" i="2"/>
  <c r="E28" i="2"/>
  <c r="E29" i="2"/>
  <c r="E23" i="2"/>
  <c r="I30" i="3"/>
  <c r="J30" i="3"/>
  <c r="K30" i="3"/>
  <c r="O30" i="3"/>
  <c r="H30" i="3"/>
  <c r="P24" i="3"/>
  <c r="P25" i="3"/>
  <c r="P26" i="3"/>
  <c r="P29" i="3"/>
  <c r="O24" i="3"/>
  <c r="O25" i="3"/>
  <c r="O26" i="3"/>
  <c r="O27" i="3"/>
  <c r="O28" i="3"/>
  <c r="O29" i="3"/>
  <c r="O23" i="3"/>
  <c r="L24" i="3"/>
  <c r="L25" i="3"/>
  <c r="L26" i="3"/>
  <c r="L27" i="3"/>
  <c r="L29" i="3"/>
  <c r="L23" i="3"/>
  <c r="L30" i="3" s="1"/>
  <c r="A8" i="3"/>
  <c r="A7" i="3"/>
  <c r="A6" i="3"/>
  <c r="A5" i="3"/>
  <c r="A4" i="3"/>
  <c r="A3" i="3"/>
  <c r="A2" i="3"/>
  <c r="H23" i="3"/>
  <c r="I24" i="3"/>
  <c r="I25" i="3"/>
  <c r="I26" i="3"/>
  <c r="I27" i="3"/>
  <c r="I28" i="3"/>
  <c r="I29" i="3"/>
  <c r="H24" i="3"/>
  <c r="H25" i="3"/>
  <c r="H26" i="3"/>
  <c r="H27" i="3"/>
  <c r="H28" i="3"/>
  <c r="H29" i="3"/>
  <c r="I23" i="3"/>
  <c r="D24" i="3"/>
  <c r="D25" i="3"/>
  <c r="D26" i="3"/>
  <c r="D27" i="3"/>
  <c r="D28" i="3"/>
  <c r="D29" i="3"/>
  <c r="D23" i="3"/>
  <c r="B24" i="3"/>
  <c r="B25" i="3"/>
  <c r="B26" i="3"/>
  <c r="B27" i="3"/>
  <c r="B28" i="3"/>
  <c r="B29" i="3"/>
  <c r="B23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X12" i="3"/>
  <c r="X13" i="3"/>
  <c r="X14" i="3"/>
  <c r="X15" i="3"/>
  <c r="X16" i="3"/>
  <c r="X17" i="3"/>
  <c r="X18" i="3"/>
  <c r="X19" i="3"/>
  <c r="X20" i="3"/>
  <c r="X3" i="3"/>
  <c r="X4" i="3"/>
  <c r="X5" i="3"/>
  <c r="X6" i="3"/>
  <c r="X7" i="3"/>
  <c r="X8" i="3"/>
  <c r="X2" i="3"/>
  <c r="W13" i="3"/>
  <c r="W14" i="3"/>
  <c r="W15" i="3"/>
  <c r="W16" i="3"/>
  <c r="W17" i="3"/>
  <c r="W18" i="3"/>
  <c r="W19" i="3"/>
  <c r="W20" i="3"/>
  <c r="W12" i="3"/>
  <c r="W9" i="3"/>
  <c r="X9" i="3" s="1"/>
  <c r="W10" i="3"/>
  <c r="X10" i="3" s="1"/>
  <c r="W11" i="3"/>
  <c r="X11" i="3" s="1"/>
  <c r="W8" i="3"/>
  <c r="W7" i="3"/>
  <c r="W6" i="3"/>
  <c r="W5" i="3"/>
  <c r="W4" i="3"/>
  <c r="W3" i="3"/>
  <c r="W2" i="3"/>
  <c r="Q9" i="3"/>
  <c r="Q11" i="3"/>
  <c r="Q12" i="3"/>
  <c r="Q8" i="3"/>
  <c r="Q18" i="3"/>
  <c r="Q20" i="3"/>
  <c r="Q19" i="3"/>
  <c r="Q17" i="3"/>
  <c r="Q16" i="3"/>
  <c r="Q15" i="3"/>
  <c r="Q14" i="3"/>
  <c r="Q13" i="3"/>
  <c r="Q10" i="3"/>
  <c r="Q2" i="3"/>
  <c r="Q3" i="3"/>
  <c r="Q4" i="3"/>
  <c r="Q5" i="3"/>
  <c r="Q6" i="3"/>
  <c r="Q7" i="3"/>
  <c r="P30" i="2"/>
  <c r="O30" i="2"/>
  <c r="N30" i="2"/>
  <c r="M30" i="2"/>
  <c r="L30" i="2"/>
  <c r="K30" i="2"/>
  <c r="J30" i="2"/>
  <c r="I30" i="2"/>
  <c r="H30" i="2"/>
  <c r="P29" i="2"/>
  <c r="O29" i="2"/>
  <c r="N29" i="2"/>
  <c r="M29" i="2"/>
  <c r="L29" i="2"/>
  <c r="I29" i="2"/>
  <c r="H29" i="2"/>
  <c r="G29" i="2"/>
  <c r="D29" i="2"/>
  <c r="B29" i="2"/>
  <c r="P28" i="2"/>
  <c r="O28" i="2"/>
  <c r="N28" i="2"/>
  <c r="M28" i="2"/>
  <c r="L28" i="2"/>
  <c r="I28" i="2"/>
  <c r="H28" i="2"/>
  <c r="G28" i="2"/>
  <c r="D28" i="2"/>
  <c r="B28" i="2"/>
  <c r="P27" i="2"/>
  <c r="O27" i="2"/>
  <c r="N27" i="2"/>
  <c r="M27" i="2"/>
  <c r="L27" i="2"/>
  <c r="I27" i="2"/>
  <c r="H27" i="2"/>
  <c r="G27" i="2"/>
  <c r="D27" i="2"/>
  <c r="B27" i="2"/>
  <c r="P26" i="2"/>
  <c r="O26" i="2"/>
  <c r="N26" i="2"/>
  <c r="M26" i="2"/>
  <c r="L26" i="2"/>
  <c r="I26" i="2"/>
  <c r="H26" i="2"/>
  <c r="G26" i="2"/>
  <c r="D26" i="2"/>
  <c r="B26" i="2"/>
  <c r="P25" i="2"/>
  <c r="O25" i="2"/>
  <c r="N25" i="2"/>
  <c r="M25" i="2"/>
  <c r="L25" i="2"/>
  <c r="I25" i="2"/>
  <c r="H25" i="2"/>
  <c r="G25" i="2"/>
  <c r="D25" i="2"/>
  <c r="B25" i="2"/>
  <c r="P24" i="2"/>
  <c r="O24" i="2"/>
  <c r="N24" i="2"/>
  <c r="M24" i="2"/>
  <c r="L24" i="2"/>
  <c r="I24" i="2"/>
  <c r="H24" i="2"/>
  <c r="G24" i="2"/>
  <c r="D24" i="2"/>
  <c r="B24" i="2"/>
  <c r="P23" i="2"/>
  <c r="O23" i="2"/>
  <c r="N23" i="2"/>
  <c r="M23" i="2"/>
  <c r="L23" i="2"/>
  <c r="I23" i="2"/>
  <c r="H23" i="2"/>
  <c r="G23" i="2"/>
  <c r="D23" i="2"/>
  <c r="B23" i="2"/>
  <c r="W11" i="2"/>
  <c r="X11" i="2" s="1"/>
  <c r="W5" i="2"/>
  <c r="X5" i="2" s="1"/>
  <c r="W10" i="2"/>
  <c r="W20" i="2"/>
  <c r="W7" i="2"/>
  <c r="W18" i="2"/>
  <c r="W17" i="2"/>
  <c r="X17" i="2" s="1"/>
  <c r="W4" i="2"/>
  <c r="X10" i="2"/>
  <c r="X4" i="2"/>
  <c r="W16" i="2"/>
  <c r="X16" i="2" s="1"/>
  <c r="W14" i="2"/>
  <c r="X14" i="2" s="1"/>
  <c r="W6" i="2"/>
  <c r="X18" i="2"/>
  <c r="W15" i="2"/>
  <c r="X15" i="2" s="1"/>
  <c r="W9" i="2"/>
  <c r="X9" i="2" s="1"/>
  <c r="W3" i="2"/>
  <c r="X3" i="2" s="1"/>
  <c r="X20" i="2"/>
  <c r="W13" i="2"/>
  <c r="W12" i="2"/>
  <c r="X12" i="2" s="1"/>
  <c r="W2" i="2"/>
  <c r="X2" i="2" s="1"/>
  <c r="W8" i="2"/>
  <c r="X8" i="2" s="1"/>
  <c r="X13" i="2"/>
  <c r="X7" i="2"/>
  <c r="W19" i="2"/>
  <c r="X19" i="2" s="1"/>
  <c r="X6" i="2"/>
  <c r="Q16" i="2"/>
  <c r="Q20" i="2"/>
  <c r="Q12" i="2"/>
  <c r="Q8" i="2"/>
  <c r="Q4" i="2"/>
  <c r="Q19" i="2"/>
  <c r="Q15" i="2"/>
  <c r="Q11" i="2"/>
  <c r="Q7" i="2"/>
  <c r="Q3" i="2"/>
  <c r="Q5" i="2"/>
  <c r="Q14" i="2"/>
  <c r="Q18" i="2"/>
  <c r="Q6" i="2"/>
  <c r="Q13" i="2"/>
  <c r="Q10" i="2"/>
  <c r="Q9" i="2"/>
  <c r="Q17" i="2"/>
  <c r="Q2" i="2"/>
  <c r="R20" i="2"/>
  <c r="R17" i="2"/>
  <c r="R14" i="2"/>
  <c r="R11" i="2"/>
  <c r="R8" i="2"/>
  <c r="R18" i="2"/>
  <c r="R19" i="2"/>
  <c r="R13" i="2"/>
  <c r="R10" i="2"/>
  <c r="R4" i="2"/>
  <c r="R9" i="2"/>
  <c r="R16" i="2"/>
  <c r="R7" i="2"/>
  <c r="R12" i="2"/>
  <c r="R3" i="2"/>
  <c r="R5" i="2"/>
  <c r="R15" i="2"/>
  <c r="R6" i="2"/>
  <c r="R2" i="2"/>
  <c r="N30" i="3" l="1"/>
  <c r="P23" i="3"/>
  <c r="P30" i="3" l="1"/>
</calcChain>
</file>

<file path=xl/sharedStrings.xml><?xml version="1.0" encoding="utf-8"?>
<sst xmlns="http://schemas.openxmlformats.org/spreadsheetml/2006/main" count="104" uniqueCount="27">
  <si>
    <t>U, В</t>
  </si>
  <si>
    <t>E, В</t>
  </si>
  <si>
    <t>3 контур</t>
  </si>
  <si>
    <t>f</t>
  </si>
  <si>
    <t>U</t>
  </si>
  <si>
    <t>5 контур</t>
  </si>
  <si>
    <t>phi, дел</t>
  </si>
  <si>
    <t>time</t>
  </si>
  <si>
    <t>Фаза</t>
  </si>
  <si>
    <t>R</t>
  </si>
  <si>
    <t>R_1</t>
  </si>
  <si>
    <t>C</t>
  </si>
  <si>
    <t>f, Гц</t>
  </si>
  <si>
    <t>E</t>
  </si>
  <si>
    <t>L</t>
  </si>
  <si>
    <t>C_s</t>
  </si>
  <si>
    <t>f_s</t>
  </si>
  <si>
    <t>p</t>
  </si>
  <si>
    <t>Z</t>
  </si>
  <si>
    <t>E2</t>
  </si>
  <si>
    <t>Q</t>
  </si>
  <si>
    <t>R1</t>
  </si>
  <si>
    <t>Rsum</t>
  </si>
  <si>
    <t>Rsmax</t>
  </si>
  <si>
    <t>Rl</t>
  </si>
  <si>
    <t>Ср знач</t>
  </si>
  <si>
    <t>Погр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</si>
</sst>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Values!$G$2:$G$20</c:f>
              <c:numCache>
                <c:formatCode>General</c:formatCode>
                <c:ptCount val="19"/>
                <c:pt idx="0">
                  <c:v>22.1</c:v>
                </c:pt>
                <c:pt idx="1">
                  <c:v>22.35</c:v>
                </c:pt>
                <c:pt idx="2">
                  <c:v>22.55</c:v>
                </c:pt>
                <c:pt idx="3">
                  <c:v>22.67</c:v>
                </c:pt>
                <c:pt idx="4">
                  <c:v>22.79</c:v>
                </c:pt>
                <c:pt idx="5">
                  <c:v>22.91</c:v>
                </c:pt>
                <c:pt idx="6">
                  <c:v>23.03</c:v>
                </c:pt>
                <c:pt idx="7">
                  <c:v>23.15</c:v>
                </c:pt>
                <c:pt idx="8">
                  <c:v>23.27</c:v>
                </c:pt>
                <c:pt idx="9">
                  <c:v>23.39</c:v>
                </c:pt>
                <c:pt idx="10">
                  <c:v>23.51</c:v>
                </c:pt>
                <c:pt idx="11">
                  <c:v>23.63</c:v>
                </c:pt>
                <c:pt idx="12">
                  <c:v>23.75</c:v>
                </c:pt>
                <c:pt idx="13">
                  <c:v>23.87</c:v>
                </c:pt>
                <c:pt idx="14">
                  <c:v>24</c:v>
                </c:pt>
                <c:pt idx="15">
                  <c:v>24.25</c:v>
                </c:pt>
                <c:pt idx="16">
                  <c:v>24.5</c:v>
                </c:pt>
                <c:pt idx="17">
                  <c:v>24.75</c:v>
                </c:pt>
                <c:pt idx="18">
                  <c:v>25</c:v>
                </c:pt>
              </c:numCache>
            </c:numRef>
          </c:xVal>
          <c:yVal>
            <c:numRef>
              <c:f>Values!$H$2:$H$20</c:f>
              <c:numCache>
                <c:formatCode>General</c:formatCode>
                <c:ptCount val="19"/>
                <c:pt idx="0">
                  <c:v>0.33</c:v>
                </c:pt>
                <c:pt idx="1">
                  <c:v>0.40710000000000002</c:v>
                </c:pt>
                <c:pt idx="2">
                  <c:v>0.49309999999999998</c:v>
                </c:pt>
                <c:pt idx="3">
                  <c:v>0.55759999999999998</c:v>
                </c:pt>
                <c:pt idx="4">
                  <c:v>0.63170000000000004</c:v>
                </c:pt>
                <c:pt idx="5">
                  <c:v>0.71050000000000002</c:v>
                </c:pt>
                <c:pt idx="6">
                  <c:v>0.77690000000000003</c:v>
                </c:pt>
                <c:pt idx="7">
                  <c:v>0.81820000000000004</c:v>
                </c:pt>
                <c:pt idx="8">
                  <c:v>0.81520000000000004</c:v>
                </c:pt>
                <c:pt idx="9">
                  <c:v>0.77100000000000002</c:v>
                </c:pt>
                <c:pt idx="10">
                  <c:v>0.70620000000000005</c:v>
                </c:pt>
                <c:pt idx="11">
                  <c:v>0.63170000000000004</c:v>
                </c:pt>
                <c:pt idx="12">
                  <c:v>0.56200000000000006</c:v>
                </c:pt>
                <c:pt idx="13">
                  <c:v>0.50109999999999999</c:v>
                </c:pt>
                <c:pt idx="14">
                  <c:v>0.44519999999999998</c:v>
                </c:pt>
                <c:pt idx="15">
                  <c:v>0.36280000000000001</c:v>
                </c:pt>
                <c:pt idx="16">
                  <c:v>0.30420000000000003</c:v>
                </c:pt>
                <c:pt idx="17">
                  <c:v>0.26240000000000002</c:v>
                </c:pt>
                <c:pt idx="18">
                  <c:v>0.22869999999999999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C-483A-9AEC-BACB37BE0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910112"/>
        <c:axId val="1006911072"/>
      </c:scatterChart>
      <c:valAx>
        <c:axId val="100691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911072"/>
        <c:crosses val="autoZero"/>
        <c:crossBetween val="midCat"/>
      </c:valAx>
      <c:valAx>
        <c:axId val="1006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691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Values!$K$2:$K$20</c:f>
              <c:numCache>
                <c:formatCode>General</c:formatCode>
                <c:ptCount val="19"/>
                <c:pt idx="0">
                  <c:v>18.8</c:v>
                </c:pt>
                <c:pt idx="1">
                  <c:v>18.88</c:v>
                </c:pt>
                <c:pt idx="2">
                  <c:v>18.96</c:v>
                </c:pt>
                <c:pt idx="3">
                  <c:v>19.04</c:v>
                </c:pt>
                <c:pt idx="4">
                  <c:v>19.12</c:v>
                </c:pt>
                <c:pt idx="5">
                  <c:v>19.2</c:v>
                </c:pt>
                <c:pt idx="6">
                  <c:v>19.28</c:v>
                </c:pt>
                <c:pt idx="7">
                  <c:v>19.36</c:v>
                </c:pt>
                <c:pt idx="8">
                  <c:v>19.440000000000001</c:v>
                </c:pt>
                <c:pt idx="9">
                  <c:v>19.48</c:v>
                </c:pt>
                <c:pt idx="10">
                  <c:v>19.52</c:v>
                </c:pt>
                <c:pt idx="11">
                  <c:v>19.600000000000001</c:v>
                </c:pt>
                <c:pt idx="12">
                  <c:v>19.68</c:v>
                </c:pt>
                <c:pt idx="13">
                  <c:v>19.760000000000002</c:v>
                </c:pt>
                <c:pt idx="14">
                  <c:v>19.84</c:v>
                </c:pt>
                <c:pt idx="15">
                  <c:v>19.920000000000002</c:v>
                </c:pt>
                <c:pt idx="16">
                  <c:v>20</c:v>
                </c:pt>
                <c:pt idx="17">
                  <c:v>20.100000000000001</c:v>
                </c:pt>
                <c:pt idx="18">
                  <c:v>20.2</c:v>
                </c:pt>
              </c:numCache>
            </c:numRef>
          </c:xVal>
          <c:yVal>
            <c:numRef>
              <c:f>Values!$L$2:$L$20</c:f>
              <c:numCache>
                <c:formatCode>General</c:formatCode>
                <c:ptCount val="19"/>
                <c:pt idx="0">
                  <c:v>0.33239999999999997</c:v>
                </c:pt>
                <c:pt idx="1">
                  <c:v>0.35959999999999998</c:v>
                </c:pt>
                <c:pt idx="2">
                  <c:v>0.38969999999999999</c:v>
                </c:pt>
                <c:pt idx="3">
                  <c:v>0.4224</c:v>
                </c:pt>
                <c:pt idx="4">
                  <c:v>0.45729999999999998</c:v>
                </c:pt>
                <c:pt idx="5">
                  <c:v>0.49159999999999998</c:v>
                </c:pt>
                <c:pt idx="6">
                  <c:v>0.5232</c:v>
                </c:pt>
                <c:pt idx="7">
                  <c:v>0.54800000000000004</c:v>
                </c:pt>
                <c:pt idx="8">
                  <c:v>0.56220000000000003</c:v>
                </c:pt>
                <c:pt idx="9">
                  <c:v>0.5645</c:v>
                </c:pt>
                <c:pt idx="10">
                  <c:v>0.56320000000000003</c:v>
                </c:pt>
                <c:pt idx="11">
                  <c:v>0.55249999999999999</c:v>
                </c:pt>
                <c:pt idx="12">
                  <c:v>0.52939999999999998</c:v>
                </c:pt>
                <c:pt idx="13">
                  <c:v>0.4995</c:v>
                </c:pt>
                <c:pt idx="14">
                  <c:v>0.4677</c:v>
                </c:pt>
                <c:pt idx="15">
                  <c:v>0.4345</c:v>
                </c:pt>
                <c:pt idx="16">
                  <c:v>0.40279999999999999</c:v>
                </c:pt>
                <c:pt idx="17">
                  <c:v>0.3664</c:v>
                </c:pt>
                <c:pt idx="18">
                  <c:v>0.3342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0-46F5-A2CF-AAEBB8587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103328"/>
        <c:axId val="1231109088"/>
      </c:scatterChart>
      <c:valAx>
        <c:axId val="123110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1109088"/>
        <c:crosses val="autoZero"/>
        <c:crossBetween val="midCat"/>
      </c:valAx>
      <c:valAx>
        <c:axId val="12311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110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Values!$O$2:$O$20</c:f>
              <c:numCache>
                <c:formatCode>General</c:formatCode>
                <c:ptCount val="19"/>
                <c:pt idx="0">
                  <c:v>22</c:v>
                </c:pt>
                <c:pt idx="1">
                  <c:v>22.15</c:v>
                </c:pt>
                <c:pt idx="2">
                  <c:v>22.3</c:v>
                </c:pt>
                <c:pt idx="3">
                  <c:v>22.4</c:v>
                </c:pt>
                <c:pt idx="4">
                  <c:v>22.55</c:v>
                </c:pt>
                <c:pt idx="5">
                  <c:v>22.8</c:v>
                </c:pt>
                <c:pt idx="6">
                  <c:v>23</c:v>
                </c:pt>
                <c:pt idx="7">
                  <c:v>23.1</c:v>
                </c:pt>
                <c:pt idx="8">
                  <c:v>23.2</c:v>
                </c:pt>
                <c:pt idx="9">
                  <c:v>23.25</c:v>
                </c:pt>
                <c:pt idx="10">
                  <c:v>23.3</c:v>
                </c:pt>
                <c:pt idx="11">
                  <c:v>23.4</c:v>
                </c:pt>
                <c:pt idx="12">
                  <c:v>23.6</c:v>
                </c:pt>
                <c:pt idx="13">
                  <c:v>23.8</c:v>
                </c:pt>
                <c:pt idx="14">
                  <c:v>24</c:v>
                </c:pt>
                <c:pt idx="15">
                  <c:v>24.2</c:v>
                </c:pt>
                <c:pt idx="16">
                  <c:v>24.4</c:v>
                </c:pt>
                <c:pt idx="17">
                  <c:v>24.6</c:v>
                </c:pt>
                <c:pt idx="18">
                  <c:v>24.8</c:v>
                </c:pt>
              </c:numCache>
            </c:numRef>
          </c:xVal>
          <c:yVal>
            <c:numRef>
              <c:f>Values!$R$2:$R$20</c:f>
              <c:numCache>
                <c:formatCode>General</c:formatCode>
                <c:ptCount val="19"/>
                <c:pt idx="0">
                  <c:v>1.54</c:v>
                </c:pt>
                <c:pt idx="1">
                  <c:v>1.5948</c:v>
                </c:pt>
                <c:pt idx="2">
                  <c:v>1.6502000000000001</c:v>
                </c:pt>
                <c:pt idx="3">
                  <c:v>1.6576</c:v>
                </c:pt>
                <c:pt idx="4">
                  <c:v>1.7589000000000001</c:v>
                </c:pt>
                <c:pt idx="5">
                  <c:v>1.9152</c:v>
                </c:pt>
                <c:pt idx="6">
                  <c:v>2.1619999999999999</c:v>
                </c:pt>
                <c:pt idx="7">
                  <c:v>2.31</c:v>
                </c:pt>
                <c:pt idx="8">
                  <c:v>3.1400004640000003</c:v>
                </c:pt>
                <c:pt idx="9">
                  <c:v>3.2330000000000001</c:v>
                </c:pt>
                <c:pt idx="10">
                  <c:v>3.2798000000000003</c:v>
                </c:pt>
                <c:pt idx="11">
                  <c:v>3.4441999999999999</c:v>
                </c:pt>
                <c:pt idx="12">
                  <c:v>3.6828000000000003</c:v>
                </c:pt>
                <c:pt idx="13">
                  <c:v>3.8540000000000001</c:v>
                </c:pt>
                <c:pt idx="14">
                  <c:v>3.956</c:v>
                </c:pt>
                <c:pt idx="15">
                  <c:v>4.0112000000000005</c:v>
                </c:pt>
                <c:pt idx="16">
                  <c:v>4.0671999999999997</c:v>
                </c:pt>
                <c:pt idx="17">
                  <c:v>4.1240000000000006</c:v>
                </c:pt>
                <c:pt idx="18">
                  <c:v>4.1319999999999997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5-4057-B56B-0E1EE9168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263424"/>
        <c:axId val="1226263904"/>
      </c:scatterChart>
      <c:valAx>
        <c:axId val="122626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6263904"/>
        <c:crosses val="autoZero"/>
        <c:crossBetween val="midCat"/>
      </c:valAx>
      <c:valAx>
        <c:axId val="12262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62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Values!$U$2:$U$20</c:f>
              <c:numCache>
                <c:formatCode>General</c:formatCode>
                <c:ptCount val="19"/>
                <c:pt idx="0">
                  <c:v>18</c:v>
                </c:pt>
                <c:pt idx="1">
                  <c:v>18.18</c:v>
                </c:pt>
                <c:pt idx="2">
                  <c:v>18.36</c:v>
                </c:pt>
                <c:pt idx="3">
                  <c:v>18.48</c:v>
                </c:pt>
                <c:pt idx="4">
                  <c:v>18.7</c:v>
                </c:pt>
                <c:pt idx="5">
                  <c:v>18.899999999999999</c:v>
                </c:pt>
                <c:pt idx="6">
                  <c:v>19.100000000000001</c:v>
                </c:pt>
                <c:pt idx="7">
                  <c:v>19.2</c:v>
                </c:pt>
                <c:pt idx="8">
                  <c:v>19.3</c:v>
                </c:pt>
                <c:pt idx="9">
                  <c:v>19.399999999999999</c:v>
                </c:pt>
                <c:pt idx="10">
                  <c:v>19.5</c:v>
                </c:pt>
                <c:pt idx="11">
                  <c:v>19.600000000000001</c:v>
                </c:pt>
                <c:pt idx="12">
                  <c:v>19.7</c:v>
                </c:pt>
                <c:pt idx="13">
                  <c:v>19.8</c:v>
                </c:pt>
                <c:pt idx="14">
                  <c:v>20</c:v>
                </c:pt>
                <c:pt idx="15">
                  <c:v>20.2</c:v>
                </c:pt>
                <c:pt idx="16">
                  <c:v>20.399999999999999</c:v>
                </c:pt>
                <c:pt idx="17">
                  <c:v>20.7</c:v>
                </c:pt>
                <c:pt idx="18">
                  <c:v>21</c:v>
                </c:pt>
              </c:numCache>
            </c:numRef>
          </c:xVal>
          <c:yVal>
            <c:numRef>
              <c:f>Values!$X$2:$X$20</c:f>
              <c:numCache>
                <c:formatCode>General</c:formatCode>
                <c:ptCount val="19"/>
                <c:pt idx="0">
                  <c:v>1.476</c:v>
                </c:pt>
                <c:pt idx="1">
                  <c:v>1.5271199999999998</c:v>
                </c:pt>
                <c:pt idx="2">
                  <c:v>1.5789600000000001</c:v>
                </c:pt>
                <c:pt idx="3">
                  <c:v>1.6077600000000001</c:v>
                </c:pt>
                <c:pt idx="4">
                  <c:v>1.6830000000000001</c:v>
                </c:pt>
                <c:pt idx="5">
                  <c:v>1.8143999999999998</c:v>
                </c:pt>
                <c:pt idx="6">
                  <c:v>2.0055000000000001</c:v>
                </c:pt>
                <c:pt idx="7">
                  <c:v>2.1120000000000001</c:v>
                </c:pt>
                <c:pt idx="8">
                  <c:v>2.2195</c:v>
                </c:pt>
                <c:pt idx="9">
                  <c:v>2.3279999999999998</c:v>
                </c:pt>
                <c:pt idx="10">
                  <c:v>3.1790000000000003</c:v>
                </c:pt>
                <c:pt idx="11">
                  <c:v>3.3360000000000003</c:v>
                </c:pt>
                <c:pt idx="12">
                  <c:v>3.4748999999999999</c:v>
                </c:pt>
                <c:pt idx="13">
                  <c:v>3.6152000000000002</c:v>
                </c:pt>
                <c:pt idx="14">
                  <c:v>3.8000000000000003</c:v>
                </c:pt>
                <c:pt idx="15">
                  <c:v>3.9076000000000004</c:v>
                </c:pt>
                <c:pt idx="16">
                  <c:v>3.9968000000000004</c:v>
                </c:pt>
                <c:pt idx="17">
                  <c:v>4.0922000000000001</c:v>
                </c:pt>
                <c:pt idx="18">
                  <c:v>4.1479999999999997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7-4E0F-AA1E-44B3E21BA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554384"/>
        <c:axId val="1224554864"/>
      </c:scatterChart>
      <c:valAx>
        <c:axId val="122455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54864"/>
        <c:crosses val="autoZero"/>
        <c:crossBetween val="midCat"/>
      </c:valAx>
      <c:valAx>
        <c:axId val="12245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54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156287</xdr:rowOff>
    </xdr:from>
    <xdr:to>
      <xdr:col>8</xdr:col>
      <xdr:colOff>533400</xdr:colOff>
      <xdr:row>62</xdr:row>
      <xdr:rowOff>17857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306E4AC-3D49-B080-7707-2C80B3A7A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37561</xdr:colOff>
      <xdr:row>43</xdr:row>
      <xdr:rowOff>17510</xdr:rowOff>
    </xdr:from>
    <xdr:to>
      <xdr:col>17</xdr:col>
      <xdr:colOff>372841</xdr:colOff>
      <xdr:row>61</xdr:row>
      <xdr:rowOff>62653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9B5F2F1-79EC-2766-495D-17A5CE475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20130</xdr:colOff>
      <xdr:row>27</xdr:row>
      <xdr:rowOff>60960</xdr:rowOff>
    </xdr:from>
    <xdr:to>
      <xdr:col>26</xdr:col>
      <xdr:colOff>363940</xdr:colOff>
      <xdr:row>45</xdr:row>
      <xdr:rowOff>68239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4DE0318-8F66-D502-E98A-FA39C721B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554524</xdr:colOff>
      <xdr:row>27</xdr:row>
      <xdr:rowOff>5281</xdr:rowOff>
    </xdr:from>
    <xdr:to>
      <xdr:col>35</xdr:col>
      <xdr:colOff>543207</xdr:colOff>
      <xdr:row>45</xdr:row>
      <xdr:rowOff>45267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3538F992-7745-C36A-CA5E-2F2B23A54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X42"/>
  <sheetViews>
    <sheetView tabSelected="1" zoomScale="76" workbookViewId="0">
      <selection activeCell="C34" sqref="C34"/>
    </sheetView>
  </sheetViews>
  <sheetFormatPr defaultRowHeight="14.4" x14ac:dyDescent="0.3"/>
  <cols>
    <col min="1" max="1" width="10.21875" bestFit="1" customWidth="1"/>
    <col min="2" max="2" width="10" bestFit="1" customWidth="1"/>
    <col min="3" max="13" width="9" bestFit="1" customWidth="1"/>
    <col min="14" max="14" width="12.21875" bestFit="1" customWidth="1"/>
    <col min="15" max="16" width="9" bestFit="1" customWidth="1"/>
  </cols>
  <sheetData>
    <row r="1" spans="1:24" x14ac:dyDescent="0.3">
      <c r="A1" t="s">
        <v>11</v>
      </c>
      <c r="B1" t="s">
        <v>12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J1" t="s">
        <v>5</v>
      </c>
      <c r="K1" t="s">
        <v>3</v>
      </c>
      <c r="L1" t="s">
        <v>4</v>
      </c>
      <c r="N1" t="s">
        <v>2</v>
      </c>
      <c r="O1" t="s">
        <v>3</v>
      </c>
      <c r="P1" t="s">
        <v>6</v>
      </c>
      <c r="Q1" t="s">
        <v>7</v>
      </c>
      <c r="R1" t="s">
        <v>8</v>
      </c>
      <c r="T1" t="s">
        <v>5</v>
      </c>
      <c r="U1" t="s">
        <v>3</v>
      </c>
      <c r="V1" t="s">
        <v>6</v>
      </c>
      <c r="W1" t="s">
        <v>7</v>
      </c>
      <c r="X1" t="s">
        <v>8</v>
      </c>
    </row>
    <row r="2" spans="1:24" x14ac:dyDescent="0.3">
      <c r="A2">
        <f>25.1</f>
        <v>25.1</v>
      </c>
      <c r="B2">
        <v>32.118000000000002</v>
      </c>
      <c r="C2">
        <v>1.4511000000000001</v>
      </c>
      <c r="D2">
        <v>0.25</v>
      </c>
      <c r="G2">
        <v>22.1</v>
      </c>
      <c r="H2">
        <v>0.33</v>
      </c>
      <c r="K2">
        <v>18.8</v>
      </c>
      <c r="L2">
        <v>0.33239999999999997</v>
      </c>
      <c r="O2">
        <v>22</v>
      </c>
      <c r="P2">
        <v>35</v>
      </c>
      <c r="Q2">
        <f t="shared" ref="Q2:Q6" si="0">P2*2</f>
        <v>70</v>
      </c>
      <c r="R2">
        <f>O2*Q2 / 1000</f>
        <v>1.54</v>
      </c>
      <c r="U2">
        <v>18</v>
      </c>
      <c r="V2">
        <v>41</v>
      </c>
      <c r="W2">
        <f t="shared" ref="W2:W6" si="1">V2*2</f>
        <v>82</v>
      </c>
      <c r="X2">
        <f>U2*W2 / 1000</f>
        <v>1.476</v>
      </c>
    </row>
    <row r="3" spans="1:24" x14ac:dyDescent="0.3">
      <c r="A3">
        <f>33.2</f>
        <v>33.200000000000003</v>
      </c>
      <c r="B3">
        <v>27.814</v>
      </c>
      <c r="C3">
        <v>1.1392</v>
      </c>
      <c r="D3">
        <v>0.25</v>
      </c>
      <c r="G3">
        <v>22.35</v>
      </c>
      <c r="H3">
        <v>0.40710000000000002</v>
      </c>
      <c r="K3">
        <v>18.88</v>
      </c>
      <c r="L3">
        <v>0.35959999999999998</v>
      </c>
      <c r="O3">
        <v>22.15</v>
      </c>
      <c r="P3">
        <v>36</v>
      </c>
      <c r="Q3">
        <f t="shared" si="0"/>
        <v>72</v>
      </c>
      <c r="R3">
        <f t="shared" ref="R3:R9" si="2">O3*Q3 / 1000</f>
        <v>1.5948</v>
      </c>
      <c r="U3">
        <v>18.18</v>
      </c>
      <c r="V3">
        <v>42</v>
      </c>
      <c r="W3">
        <f t="shared" si="1"/>
        <v>84</v>
      </c>
      <c r="X3">
        <f t="shared" ref="X3:X11" si="3">U3*W3 / 1000</f>
        <v>1.5271199999999998</v>
      </c>
    </row>
    <row r="4" spans="1:24" x14ac:dyDescent="0.3">
      <c r="A4">
        <f>47.3</f>
        <v>47.3</v>
      </c>
      <c r="B4">
        <v>23.21</v>
      </c>
      <c r="C4">
        <v>0.82350000000000001</v>
      </c>
      <c r="D4">
        <v>0.25</v>
      </c>
      <c r="G4">
        <v>22.55</v>
      </c>
      <c r="H4">
        <v>0.49309999999999998</v>
      </c>
      <c r="K4">
        <v>18.96</v>
      </c>
      <c r="L4">
        <v>0.38969999999999999</v>
      </c>
      <c r="O4">
        <v>22.3</v>
      </c>
      <c r="P4">
        <v>37</v>
      </c>
      <c r="Q4">
        <f t="shared" si="0"/>
        <v>74</v>
      </c>
      <c r="R4">
        <f t="shared" si="2"/>
        <v>1.6502000000000001</v>
      </c>
      <c r="U4">
        <v>18.36</v>
      </c>
      <c r="V4">
        <v>43</v>
      </c>
      <c r="W4">
        <f t="shared" si="1"/>
        <v>86</v>
      </c>
      <c r="X4">
        <f t="shared" si="3"/>
        <v>1.5789600000000001</v>
      </c>
    </row>
    <row r="5" spans="1:24" x14ac:dyDescent="0.3">
      <c r="A5">
        <f>57.4</f>
        <v>57.4</v>
      </c>
      <c r="B5">
        <v>21.26</v>
      </c>
      <c r="C5">
        <v>0.70740000000000003</v>
      </c>
      <c r="D5">
        <v>0.25</v>
      </c>
      <c r="G5">
        <v>22.67</v>
      </c>
      <c r="H5">
        <v>0.55759999999999998</v>
      </c>
      <c r="K5">
        <v>19.04</v>
      </c>
      <c r="L5">
        <v>0.4224</v>
      </c>
      <c r="O5">
        <v>22.4</v>
      </c>
      <c r="P5">
        <v>37</v>
      </c>
      <c r="Q5">
        <f t="shared" si="0"/>
        <v>74</v>
      </c>
      <c r="R5">
        <f t="shared" si="2"/>
        <v>1.6576</v>
      </c>
      <c r="U5">
        <v>18.48</v>
      </c>
      <c r="V5">
        <v>43.5</v>
      </c>
      <c r="W5">
        <f t="shared" si="1"/>
        <v>87</v>
      </c>
      <c r="X5">
        <f t="shared" si="3"/>
        <v>1.6077600000000001</v>
      </c>
    </row>
    <row r="6" spans="1:24" x14ac:dyDescent="0.3">
      <c r="A6">
        <f>67.5</f>
        <v>67.5</v>
      </c>
      <c r="B6">
        <v>19.47</v>
      </c>
      <c r="C6">
        <v>0.56520000000000004</v>
      </c>
      <c r="D6">
        <v>0.25</v>
      </c>
      <c r="G6">
        <v>22.79</v>
      </c>
      <c r="H6">
        <v>0.63170000000000004</v>
      </c>
      <c r="K6">
        <v>19.12</v>
      </c>
      <c r="L6">
        <v>0.45729999999999998</v>
      </c>
      <c r="O6">
        <v>22.55</v>
      </c>
      <c r="P6">
        <v>39</v>
      </c>
      <c r="Q6">
        <f t="shared" si="0"/>
        <v>78</v>
      </c>
      <c r="R6">
        <f t="shared" si="2"/>
        <v>1.7589000000000001</v>
      </c>
      <c r="U6">
        <v>18.7</v>
      </c>
      <c r="V6">
        <v>45</v>
      </c>
      <c r="W6">
        <f t="shared" si="1"/>
        <v>90</v>
      </c>
      <c r="X6">
        <f t="shared" si="3"/>
        <v>1.6830000000000001</v>
      </c>
    </row>
    <row r="7" spans="1:24" x14ac:dyDescent="0.3">
      <c r="A7">
        <f>82.7</f>
        <v>82.7</v>
      </c>
      <c r="B7">
        <v>17.760000000000002</v>
      </c>
      <c r="C7">
        <v>0.29239999999999999</v>
      </c>
      <c r="D7">
        <v>0.25</v>
      </c>
      <c r="G7">
        <v>22.91</v>
      </c>
      <c r="H7">
        <v>0.71050000000000002</v>
      </c>
      <c r="K7">
        <v>19.2</v>
      </c>
      <c r="L7">
        <v>0.49159999999999998</v>
      </c>
      <c r="O7">
        <v>22.8</v>
      </c>
      <c r="P7">
        <v>42</v>
      </c>
      <c r="Q7">
        <f t="shared" ref="Q7:Q20" si="4">P7*2</f>
        <v>84</v>
      </c>
      <c r="R7">
        <f t="shared" si="2"/>
        <v>1.9152</v>
      </c>
      <c r="U7">
        <v>18.899999999999999</v>
      </c>
      <c r="V7">
        <v>48</v>
      </c>
      <c r="W7">
        <f>V7*2</f>
        <v>96</v>
      </c>
      <c r="X7">
        <f t="shared" si="3"/>
        <v>1.8143999999999998</v>
      </c>
    </row>
    <row r="8" spans="1:24" x14ac:dyDescent="0.3">
      <c r="A8">
        <f>101.6</f>
        <v>101.6</v>
      </c>
      <c r="B8">
        <v>16.059999999999999</v>
      </c>
      <c r="C8">
        <v>0.41799999999999998</v>
      </c>
      <c r="D8">
        <v>0.24979999999999999</v>
      </c>
      <c r="G8">
        <v>23.03</v>
      </c>
      <c r="H8">
        <v>0.77690000000000003</v>
      </c>
      <c r="K8">
        <v>19.28</v>
      </c>
      <c r="L8">
        <v>0.5232</v>
      </c>
      <c r="O8">
        <v>23</v>
      </c>
      <c r="P8">
        <v>47</v>
      </c>
      <c r="Q8">
        <f t="shared" si="4"/>
        <v>94</v>
      </c>
      <c r="R8">
        <f t="shared" si="2"/>
        <v>2.1619999999999999</v>
      </c>
      <c r="U8">
        <v>19.100000000000001</v>
      </c>
      <c r="V8">
        <v>21</v>
      </c>
      <c r="W8">
        <f>V8*5</f>
        <v>105</v>
      </c>
      <c r="X8">
        <f t="shared" si="3"/>
        <v>2.0055000000000001</v>
      </c>
    </row>
    <row r="9" spans="1:24" x14ac:dyDescent="0.3">
      <c r="G9">
        <v>23.15</v>
      </c>
      <c r="H9">
        <v>0.81820000000000004</v>
      </c>
      <c r="K9">
        <v>19.36</v>
      </c>
      <c r="L9">
        <v>0.54800000000000004</v>
      </c>
      <c r="O9">
        <v>23.1</v>
      </c>
      <c r="P9">
        <v>50</v>
      </c>
      <c r="Q9">
        <f t="shared" si="4"/>
        <v>100</v>
      </c>
      <c r="R9">
        <f t="shared" si="2"/>
        <v>2.31</v>
      </c>
      <c r="U9">
        <v>19.2</v>
      </c>
      <c r="V9">
        <v>22</v>
      </c>
      <c r="W9">
        <f t="shared" ref="W9:W11" si="5">V9*5</f>
        <v>110</v>
      </c>
      <c r="X9">
        <f t="shared" si="3"/>
        <v>2.1120000000000001</v>
      </c>
    </row>
    <row r="10" spans="1:24" x14ac:dyDescent="0.3">
      <c r="A10" t="s">
        <v>9</v>
      </c>
      <c r="B10">
        <v>3.5</v>
      </c>
      <c r="G10">
        <v>23.27</v>
      </c>
      <c r="H10">
        <v>0.81520000000000004</v>
      </c>
      <c r="K10">
        <v>19.440000000000001</v>
      </c>
      <c r="L10">
        <v>0.56220000000000003</v>
      </c>
      <c r="O10" s="1">
        <v>23.2</v>
      </c>
      <c r="P10" s="1">
        <v>1.0000000000000001E-5</v>
      </c>
      <c r="Q10" s="1">
        <f t="shared" si="4"/>
        <v>2.0000000000000002E-5</v>
      </c>
      <c r="R10">
        <f>3.14 +O10*Q10 / 1000</f>
        <v>3.1400004640000003</v>
      </c>
      <c r="U10">
        <v>19.3</v>
      </c>
      <c r="V10">
        <v>23</v>
      </c>
      <c r="W10">
        <f t="shared" si="5"/>
        <v>115</v>
      </c>
      <c r="X10">
        <f t="shared" si="3"/>
        <v>2.2195</v>
      </c>
    </row>
    <row r="11" spans="1:24" x14ac:dyDescent="0.3">
      <c r="A11" t="s">
        <v>10</v>
      </c>
      <c r="B11">
        <v>1008</v>
      </c>
      <c r="G11">
        <v>23.39</v>
      </c>
      <c r="H11">
        <v>0.77100000000000002</v>
      </c>
      <c r="K11">
        <v>19.48</v>
      </c>
      <c r="L11">
        <v>0.5645</v>
      </c>
      <c r="O11">
        <v>23.25</v>
      </c>
      <c r="P11">
        <v>2</v>
      </c>
      <c r="Q11">
        <f t="shared" si="4"/>
        <v>4</v>
      </c>
      <c r="R11">
        <f t="shared" ref="R11:R20" si="6">3.14 +O11*Q11 / 1000</f>
        <v>3.2330000000000001</v>
      </c>
      <c r="U11" s="1">
        <v>19.399999999999999</v>
      </c>
      <c r="V11" s="1">
        <v>24</v>
      </c>
      <c r="W11">
        <f t="shared" si="5"/>
        <v>120</v>
      </c>
      <c r="X11">
        <f t="shared" si="3"/>
        <v>2.3279999999999998</v>
      </c>
    </row>
    <row r="12" spans="1:24" x14ac:dyDescent="0.3">
      <c r="G12">
        <v>23.51</v>
      </c>
      <c r="H12">
        <v>0.70620000000000005</v>
      </c>
      <c r="K12">
        <v>19.52</v>
      </c>
      <c r="L12">
        <v>0.56320000000000003</v>
      </c>
      <c r="O12">
        <v>23.3</v>
      </c>
      <c r="P12">
        <v>3</v>
      </c>
      <c r="Q12">
        <f t="shared" si="4"/>
        <v>6</v>
      </c>
      <c r="R12">
        <f t="shared" si="6"/>
        <v>3.2798000000000003</v>
      </c>
      <c r="U12">
        <v>19.5</v>
      </c>
      <c r="V12">
        <v>1</v>
      </c>
      <c r="W12">
        <f>V12*2</f>
        <v>2</v>
      </c>
      <c r="X12">
        <f>3.14 + U12*W12 / 1000</f>
        <v>3.1790000000000003</v>
      </c>
    </row>
    <row r="13" spans="1:24" x14ac:dyDescent="0.3">
      <c r="G13">
        <v>23.63</v>
      </c>
      <c r="H13">
        <v>0.63170000000000004</v>
      </c>
      <c r="K13">
        <v>19.600000000000001</v>
      </c>
      <c r="L13">
        <v>0.55249999999999999</v>
      </c>
      <c r="O13">
        <v>23.4</v>
      </c>
      <c r="P13">
        <v>6.5</v>
      </c>
      <c r="Q13">
        <f t="shared" si="4"/>
        <v>13</v>
      </c>
      <c r="R13">
        <f t="shared" si="6"/>
        <v>3.4441999999999999</v>
      </c>
      <c r="U13">
        <v>19.600000000000001</v>
      </c>
      <c r="V13">
        <v>5</v>
      </c>
      <c r="W13">
        <f t="shared" ref="W13:W20" si="7">V13*2</f>
        <v>10</v>
      </c>
      <c r="X13">
        <f t="shared" ref="X13:X20" si="8">3.14 + U13*W13 / 1000</f>
        <v>3.3360000000000003</v>
      </c>
    </row>
    <row r="14" spans="1:24" x14ac:dyDescent="0.3">
      <c r="G14">
        <v>23.75</v>
      </c>
      <c r="H14">
        <v>0.56200000000000006</v>
      </c>
      <c r="K14">
        <v>19.68</v>
      </c>
      <c r="L14">
        <v>0.52939999999999998</v>
      </c>
      <c r="O14">
        <v>23.6</v>
      </c>
      <c r="P14">
        <v>11.5</v>
      </c>
      <c r="Q14">
        <f t="shared" si="4"/>
        <v>23</v>
      </c>
      <c r="R14">
        <f t="shared" si="6"/>
        <v>3.6828000000000003</v>
      </c>
      <c r="U14">
        <v>19.7</v>
      </c>
      <c r="V14">
        <v>8.5</v>
      </c>
      <c r="W14">
        <f t="shared" si="7"/>
        <v>17</v>
      </c>
      <c r="X14">
        <f t="shared" si="8"/>
        <v>3.4748999999999999</v>
      </c>
    </row>
    <row r="15" spans="1:24" x14ac:dyDescent="0.3">
      <c r="G15">
        <v>23.87</v>
      </c>
      <c r="H15">
        <v>0.50109999999999999</v>
      </c>
      <c r="K15">
        <v>19.760000000000002</v>
      </c>
      <c r="L15">
        <v>0.4995</v>
      </c>
      <c r="O15">
        <v>23.8</v>
      </c>
      <c r="P15">
        <v>15</v>
      </c>
      <c r="Q15">
        <f t="shared" si="4"/>
        <v>30</v>
      </c>
      <c r="R15">
        <f t="shared" si="6"/>
        <v>3.8540000000000001</v>
      </c>
      <c r="U15">
        <v>19.8</v>
      </c>
      <c r="V15">
        <v>12</v>
      </c>
      <c r="W15">
        <f t="shared" si="7"/>
        <v>24</v>
      </c>
      <c r="X15">
        <f t="shared" si="8"/>
        <v>3.6152000000000002</v>
      </c>
    </row>
    <row r="16" spans="1:24" x14ac:dyDescent="0.3">
      <c r="G16">
        <v>24</v>
      </c>
      <c r="H16">
        <v>0.44519999999999998</v>
      </c>
      <c r="K16">
        <v>19.84</v>
      </c>
      <c r="L16">
        <v>0.4677</v>
      </c>
      <c r="O16">
        <v>24</v>
      </c>
      <c r="P16">
        <v>17</v>
      </c>
      <c r="Q16">
        <f t="shared" si="4"/>
        <v>34</v>
      </c>
      <c r="R16">
        <f t="shared" si="6"/>
        <v>3.956</v>
      </c>
      <c r="U16">
        <v>20</v>
      </c>
      <c r="V16">
        <v>16.5</v>
      </c>
      <c r="W16">
        <f t="shared" si="7"/>
        <v>33</v>
      </c>
      <c r="X16">
        <f t="shared" si="8"/>
        <v>3.8000000000000003</v>
      </c>
    </row>
    <row r="17" spans="1:24" x14ac:dyDescent="0.3">
      <c r="G17">
        <v>24.25</v>
      </c>
      <c r="H17">
        <v>0.36280000000000001</v>
      </c>
      <c r="K17">
        <v>19.920000000000002</v>
      </c>
      <c r="L17">
        <v>0.4345</v>
      </c>
      <c r="O17">
        <v>24.2</v>
      </c>
      <c r="P17">
        <v>18</v>
      </c>
      <c r="Q17">
        <f t="shared" si="4"/>
        <v>36</v>
      </c>
      <c r="R17">
        <f t="shared" si="6"/>
        <v>4.0112000000000005</v>
      </c>
      <c r="U17">
        <v>20.2</v>
      </c>
      <c r="V17">
        <v>19</v>
      </c>
      <c r="W17">
        <f t="shared" si="7"/>
        <v>38</v>
      </c>
      <c r="X17">
        <f t="shared" si="8"/>
        <v>3.9076000000000004</v>
      </c>
    </row>
    <row r="18" spans="1:24" x14ac:dyDescent="0.3">
      <c r="G18">
        <v>24.5</v>
      </c>
      <c r="H18">
        <v>0.30420000000000003</v>
      </c>
      <c r="K18">
        <v>20</v>
      </c>
      <c r="L18">
        <v>0.40279999999999999</v>
      </c>
      <c r="O18">
        <v>24.4</v>
      </c>
      <c r="P18">
        <v>19</v>
      </c>
      <c r="Q18">
        <f t="shared" si="4"/>
        <v>38</v>
      </c>
      <c r="R18">
        <f t="shared" si="6"/>
        <v>4.0671999999999997</v>
      </c>
      <c r="U18">
        <v>20.399999999999999</v>
      </c>
      <c r="V18">
        <v>21</v>
      </c>
      <c r="W18">
        <f t="shared" si="7"/>
        <v>42</v>
      </c>
      <c r="X18">
        <f t="shared" si="8"/>
        <v>3.9968000000000004</v>
      </c>
    </row>
    <row r="19" spans="1:24" x14ac:dyDescent="0.3">
      <c r="G19">
        <v>24.75</v>
      </c>
      <c r="H19">
        <v>0.26240000000000002</v>
      </c>
      <c r="K19">
        <v>20.100000000000001</v>
      </c>
      <c r="L19">
        <v>0.3664</v>
      </c>
      <c r="O19">
        <v>24.6</v>
      </c>
      <c r="P19">
        <v>20</v>
      </c>
      <c r="Q19">
        <f t="shared" si="4"/>
        <v>40</v>
      </c>
      <c r="R19">
        <f t="shared" si="6"/>
        <v>4.1240000000000006</v>
      </c>
      <c r="U19">
        <v>20.7</v>
      </c>
      <c r="V19">
        <v>23</v>
      </c>
      <c r="W19">
        <f t="shared" si="7"/>
        <v>46</v>
      </c>
      <c r="X19">
        <f t="shared" si="8"/>
        <v>4.0922000000000001</v>
      </c>
    </row>
    <row r="20" spans="1:24" x14ac:dyDescent="0.3">
      <c r="G20">
        <v>25</v>
      </c>
      <c r="H20">
        <v>0.22869999999999999</v>
      </c>
      <c r="K20">
        <v>20.2</v>
      </c>
      <c r="L20">
        <v>0.3342</v>
      </c>
      <c r="O20">
        <v>24.8</v>
      </c>
      <c r="P20">
        <v>20</v>
      </c>
      <c r="Q20">
        <f t="shared" si="4"/>
        <v>40</v>
      </c>
      <c r="R20">
        <f t="shared" si="6"/>
        <v>4.1319999999999997</v>
      </c>
      <c r="U20">
        <v>21</v>
      </c>
      <c r="V20">
        <v>24</v>
      </c>
      <c r="W20">
        <f t="shared" si="7"/>
        <v>48</v>
      </c>
      <c r="X20">
        <f t="shared" si="8"/>
        <v>4.1479999999999997</v>
      </c>
    </row>
    <row r="22" spans="1:24" x14ac:dyDescent="0.3">
      <c r="A22" t="s">
        <v>11</v>
      </c>
      <c r="B22" t="s">
        <v>15</v>
      </c>
      <c r="C22" t="s">
        <v>3</v>
      </c>
      <c r="D22" t="s">
        <v>16</v>
      </c>
      <c r="E22" t="s">
        <v>4</v>
      </c>
      <c r="F22" t="s">
        <v>13</v>
      </c>
      <c r="G22" t="s">
        <v>19</v>
      </c>
      <c r="H22" t="s">
        <v>14</v>
      </c>
      <c r="I22" t="s">
        <v>17</v>
      </c>
      <c r="J22" t="s">
        <v>9</v>
      </c>
      <c r="K22" t="s">
        <v>21</v>
      </c>
      <c r="L22" t="s">
        <v>18</v>
      </c>
      <c r="M22" t="s">
        <v>20</v>
      </c>
      <c r="N22" t="s">
        <v>22</v>
      </c>
      <c r="O22" t="s">
        <v>23</v>
      </c>
      <c r="P22" t="s">
        <v>24</v>
      </c>
    </row>
    <row r="23" spans="1:24" x14ac:dyDescent="0.3">
      <c r="A23">
        <v>25.1</v>
      </c>
      <c r="B23">
        <f>A23/1000000000</f>
        <v>2.5100000000000003E-8</v>
      </c>
      <c r="C23">
        <v>32.118000000000002</v>
      </c>
      <c r="D23">
        <f>C23*1000</f>
        <v>32118.000000000004</v>
      </c>
      <c r="E23">
        <v>1.4511000000000001</v>
      </c>
      <c r="F23">
        <v>0.25</v>
      </c>
      <c r="G23">
        <f>F23</f>
        <v>0.25</v>
      </c>
      <c r="H23">
        <f t="shared" ref="H23:H29" si="9">1/(B23*(2*3.1415*D23)^2)</f>
        <v>9.7835207749354916E-4</v>
      </c>
      <c r="I23">
        <f t="shared" ref="I23:I29" si="10">1/(2*3.1415*D23*B23)</f>
        <v>197.42889965268429</v>
      </c>
      <c r="J23">
        <v>3.5</v>
      </c>
      <c r="K23">
        <v>1008</v>
      </c>
      <c r="L23">
        <f>E23/G23*K23</f>
        <v>5850.8352000000004</v>
      </c>
      <c r="M23">
        <f>E23*K23/F23/I23</f>
        <v>29.635150731695074</v>
      </c>
      <c r="N23">
        <f>G23/E23/K23/B23*H23</f>
        <v>6.6619839878705998</v>
      </c>
      <c r="O23">
        <f>10^(-3)*1/(2*3.1415*D23*B23)</f>
        <v>0.19742889965268429</v>
      </c>
      <c r="P23">
        <f>N23-J23-O23</f>
        <v>2.9645550882179155</v>
      </c>
    </row>
    <row r="24" spans="1:24" x14ac:dyDescent="0.3">
      <c r="A24">
        <v>33.200000000000003</v>
      </c>
      <c r="B24">
        <f t="shared" ref="B24:B29" si="11">A24/1000000000</f>
        <v>3.3200000000000006E-8</v>
      </c>
      <c r="C24">
        <v>27.814</v>
      </c>
      <c r="D24">
        <f t="shared" ref="D24:D29" si="12">C24*1000</f>
        <v>27814</v>
      </c>
      <c r="E24">
        <v>1.1392</v>
      </c>
      <c r="F24">
        <v>0.25</v>
      </c>
      <c r="G24">
        <f t="shared" ref="G24:G29" si="13">F24</f>
        <v>0.25</v>
      </c>
      <c r="H24">
        <f t="shared" si="9"/>
        <v>9.86281520964372E-4</v>
      </c>
      <c r="I24">
        <f t="shared" si="10"/>
        <v>172.35798423003945</v>
      </c>
      <c r="J24">
        <v>3.5</v>
      </c>
      <c r="K24">
        <v>1008</v>
      </c>
      <c r="L24">
        <f t="shared" ref="L24:L29" si="14">E24/G24*K24</f>
        <v>4593.2543999999998</v>
      </c>
      <c r="M24">
        <f t="shared" ref="M24:M29" si="15">E24*K24/F24/I24</f>
        <v>26.649501736279088</v>
      </c>
      <c r="N24">
        <f t="shared" ref="N24:N29" si="16">G24/E24/K24/B24*H24</f>
        <v>6.4675874969700189</v>
      </c>
      <c r="O24">
        <f t="shared" ref="O24:O29" si="17">10^(-3)*1/(2*3.1415*D24*B24)</f>
        <v>0.17235798423003945</v>
      </c>
      <c r="P24">
        <f t="shared" ref="P24:P29" si="18">N24-J24-O24</f>
        <v>2.7952295127399793</v>
      </c>
    </row>
    <row r="25" spans="1:24" x14ac:dyDescent="0.3">
      <c r="A25">
        <v>47.3</v>
      </c>
      <c r="B25">
        <f t="shared" si="11"/>
        <v>4.73E-8</v>
      </c>
      <c r="C25">
        <v>23.21</v>
      </c>
      <c r="D25">
        <f t="shared" si="12"/>
        <v>23210</v>
      </c>
      <c r="E25">
        <v>0.82350000000000001</v>
      </c>
      <c r="F25">
        <v>0.25</v>
      </c>
      <c r="G25">
        <f t="shared" si="13"/>
        <v>0.25</v>
      </c>
      <c r="H25">
        <f t="shared" si="9"/>
        <v>9.9415581910517132E-4</v>
      </c>
      <c r="I25">
        <f t="shared" si="10"/>
        <v>144.97618227547119</v>
      </c>
      <c r="J25">
        <v>3.5</v>
      </c>
      <c r="K25">
        <v>1008</v>
      </c>
      <c r="L25">
        <f t="shared" si="14"/>
        <v>3320.3519999999999</v>
      </c>
      <c r="M25">
        <f t="shared" si="15"/>
        <v>22.902741318508131</v>
      </c>
      <c r="N25">
        <f t="shared" si="16"/>
        <v>6.3300798912797918</v>
      </c>
      <c r="O25">
        <f t="shared" si="17"/>
        <v>0.14497618227547118</v>
      </c>
      <c r="P25">
        <f t="shared" si="18"/>
        <v>2.6851037090043204</v>
      </c>
    </row>
    <row r="26" spans="1:24" x14ac:dyDescent="0.3">
      <c r="A26">
        <v>57.4</v>
      </c>
      <c r="B26">
        <f t="shared" si="11"/>
        <v>5.7399999999999998E-8</v>
      </c>
      <c r="C26">
        <v>21.26</v>
      </c>
      <c r="D26">
        <f t="shared" si="12"/>
        <v>21260</v>
      </c>
      <c r="E26">
        <v>0.70740000000000003</v>
      </c>
      <c r="F26">
        <v>0.25</v>
      </c>
      <c r="G26">
        <f t="shared" si="13"/>
        <v>0.25</v>
      </c>
      <c r="H26">
        <f t="shared" si="9"/>
        <v>9.763993188956837E-4</v>
      </c>
      <c r="I26">
        <f t="shared" si="10"/>
        <v>130.42408173241481</v>
      </c>
      <c r="J26">
        <v>3.5</v>
      </c>
      <c r="K26">
        <v>1008</v>
      </c>
      <c r="L26">
        <f t="shared" si="14"/>
        <v>2852.2368000000001</v>
      </c>
      <c r="M26">
        <f t="shared" si="15"/>
        <v>21.868942929203868</v>
      </c>
      <c r="N26">
        <f t="shared" si="16"/>
        <v>5.9638951070765298</v>
      </c>
      <c r="O26">
        <f t="shared" si="17"/>
        <v>0.13042408173241479</v>
      </c>
      <c r="P26">
        <f t="shared" si="18"/>
        <v>2.3334710253441151</v>
      </c>
    </row>
    <row r="27" spans="1:24" x14ac:dyDescent="0.3">
      <c r="A27">
        <v>67.5</v>
      </c>
      <c r="B27">
        <f t="shared" si="11"/>
        <v>6.7500000000000002E-8</v>
      </c>
      <c r="C27">
        <v>19.47</v>
      </c>
      <c r="D27">
        <f t="shared" si="12"/>
        <v>19470</v>
      </c>
      <c r="E27">
        <v>0.56520000000000004</v>
      </c>
      <c r="F27">
        <v>0.25</v>
      </c>
      <c r="G27">
        <f t="shared" si="13"/>
        <v>0.25</v>
      </c>
      <c r="H27">
        <f t="shared" si="9"/>
        <v>9.899886252915061E-4</v>
      </c>
      <c r="I27">
        <f t="shared" si="10"/>
        <v>121.10531843179619</v>
      </c>
      <c r="J27">
        <v>3.5</v>
      </c>
      <c r="K27">
        <v>1008</v>
      </c>
      <c r="L27">
        <f t="shared" si="14"/>
        <v>2278.8864000000003</v>
      </c>
      <c r="M27">
        <f t="shared" si="15"/>
        <v>18.817393236808325</v>
      </c>
      <c r="N27">
        <f t="shared" si="16"/>
        <v>6.4358180172854409</v>
      </c>
      <c r="O27">
        <f t="shared" si="17"/>
        <v>0.12110531843179619</v>
      </c>
      <c r="P27">
        <f t="shared" si="18"/>
        <v>2.8147126988536448</v>
      </c>
    </row>
    <row r="28" spans="1:24" x14ac:dyDescent="0.3">
      <c r="A28">
        <v>82.7</v>
      </c>
      <c r="B28">
        <f t="shared" si="11"/>
        <v>8.2700000000000006E-8</v>
      </c>
      <c r="C28">
        <v>17.760000000000002</v>
      </c>
      <c r="D28">
        <f t="shared" si="12"/>
        <v>17760</v>
      </c>
      <c r="E28">
        <v>0.29239999999999999</v>
      </c>
      <c r="F28">
        <v>0.25</v>
      </c>
      <c r="G28">
        <f t="shared" si="13"/>
        <v>0.25</v>
      </c>
      <c r="H28">
        <f t="shared" si="9"/>
        <v>9.7112346530956589E-4</v>
      </c>
      <c r="I28">
        <f t="shared" si="10"/>
        <v>108.36386068991047</v>
      </c>
      <c r="J28">
        <v>3.5</v>
      </c>
      <c r="K28">
        <v>1008</v>
      </c>
      <c r="L28">
        <f t="shared" si="14"/>
        <v>1178.9567999999999</v>
      </c>
      <c r="M28">
        <f t="shared" si="15"/>
        <v>10.879612377171147</v>
      </c>
      <c r="N28">
        <f t="shared" si="16"/>
        <v>9.960268521817186</v>
      </c>
      <c r="O28">
        <f t="shared" si="17"/>
        <v>0.10836386068991047</v>
      </c>
      <c r="P28">
        <f t="shared" si="18"/>
        <v>6.3519046611272758</v>
      </c>
    </row>
    <row r="29" spans="1:24" x14ac:dyDescent="0.3">
      <c r="A29">
        <v>101.6</v>
      </c>
      <c r="B29">
        <f t="shared" si="11"/>
        <v>1.016E-7</v>
      </c>
      <c r="C29">
        <v>16.059999999999999</v>
      </c>
      <c r="D29">
        <f t="shared" si="12"/>
        <v>16059.999999999998</v>
      </c>
      <c r="E29">
        <v>0.41799999999999998</v>
      </c>
      <c r="F29">
        <v>0.24979999999999999</v>
      </c>
      <c r="G29">
        <f t="shared" si="13"/>
        <v>0.24979999999999999</v>
      </c>
      <c r="H29">
        <f t="shared" si="9"/>
        <v>9.6667634364460157E-4</v>
      </c>
      <c r="I29">
        <f t="shared" si="10"/>
        <v>97.542457121931648</v>
      </c>
      <c r="J29">
        <v>3.5</v>
      </c>
      <c r="K29">
        <v>1008</v>
      </c>
      <c r="L29">
        <f t="shared" si="14"/>
        <v>1686.7253803042433</v>
      </c>
      <c r="M29">
        <f t="shared" si="15"/>
        <v>17.292217461733355</v>
      </c>
      <c r="N29">
        <f t="shared" si="16"/>
        <v>5.6408298899656621</v>
      </c>
      <c r="O29">
        <f t="shared" si="17"/>
        <v>9.7542457121931644E-2</v>
      </c>
      <c r="P29">
        <f t="shared" si="18"/>
        <v>2.0432874328437305</v>
      </c>
    </row>
    <row r="30" spans="1:24" x14ac:dyDescent="0.3">
      <c r="G30" t="s">
        <v>25</v>
      </c>
      <c r="H30">
        <f>(H23+H25+H24+H26+H27+H28+H29)/7</f>
        <v>9.8042531010063575E-4</v>
      </c>
      <c r="I30">
        <f t="shared" ref="I30:P30" si="19">(I23+I25+I24+I26+I27+I28+I29)/7</f>
        <v>138.88554059060687</v>
      </c>
      <c r="J30">
        <f t="shared" si="19"/>
        <v>3.5</v>
      </c>
      <c r="K30">
        <f t="shared" si="19"/>
        <v>1008</v>
      </c>
      <c r="L30">
        <f t="shared" si="19"/>
        <v>3108.7495686148918</v>
      </c>
      <c r="M30">
        <f t="shared" si="19"/>
        <v>21.149365684485566</v>
      </c>
      <c r="N30">
        <f t="shared" si="19"/>
        <v>6.7800661303236041</v>
      </c>
      <c r="O30">
        <f t="shared" si="19"/>
        <v>0.13888554059060684</v>
      </c>
      <c r="P30">
        <f t="shared" si="19"/>
        <v>3.1411805897329974</v>
      </c>
    </row>
    <row r="33" spans="1:11" x14ac:dyDescent="0.3">
      <c r="A33" t="s">
        <v>11</v>
      </c>
      <c r="B33" t="s">
        <v>3</v>
      </c>
      <c r="C33" t="s">
        <v>4</v>
      </c>
      <c r="D33" t="s">
        <v>13</v>
      </c>
      <c r="E33" t="s">
        <v>14</v>
      </c>
      <c r="F33" t="s">
        <v>17</v>
      </c>
      <c r="G33" t="s">
        <v>18</v>
      </c>
      <c r="H33" t="s">
        <v>20</v>
      </c>
      <c r="I33" t="s">
        <v>22</v>
      </c>
      <c r="J33" t="s">
        <v>23</v>
      </c>
      <c r="K33" t="s">
        <v>24</v>
      </c>
    </row>
    <row r="34" spans="1:11" x14ac:dyDescent="0.3">
      <c r="A34">
        <v>25.1</v>
      </c>
      <c r="B34">
        <v>32.118000000000002</v>
      </c>
      <c r="C34">
        <v>1.4511000000000001</v>
      </c>
      <c r="D34">
        <v>0.25</v>
      </c>
      <c r="E34">
        <v>9.7835207749354916E-4</v>
      </c>
      <c r="F34">
        <v>197.42889965268429</v>
      </c>
      <c r="G34">
        <v>5850.8352000000004</v>
      </c>
      <c r="H34">
        <v>29.635150731695081</v>
      </c>
      <c r="I34">
        <v>6.6619839878705998</v>
      </c>
      <c r="J34">
        <v>0.19742889965268429</v>
      </c>
      <c r="K34">
        <v>2.9645550882179155</v>
      </c>
    </row>
    <row r="35" spans="1:11" x14ac:dyDescent="0.3">
      <c r="A35">
        <v>33.200000000000003</v>
      </c>
      <c r="B35">
        <v>27.814</v>
      </c>
      <c r="C35">
        <v>1.1392</v>
      </c>
      <c r="D35">
        <v>0.25</v>
      </c>
      <c r="E35">
        <v>9.86281520964372E-4</v>
      </c>
      <c r="F35">
        <v>172.35798423003945</v>
      </c>
      <c r="G35">
        <v>4593.2543999999998</v>
      </c>
      <c r="H35">
        <v>26.649501736279085</v>
      </c>
      <c r="I35">
        <v>6.4675874969700189</v>
      </c>
      <c r="J35">
        <v>0.17235798423003945</v>
      </c>
      <c r="K35">
        <v>2.7952295127399793</v>
      </c>
    </row>
    <row r="36" spans="1:11" x14ac:dyDescent="0.3">
      <c r="A36">
        <v>47.3</v>
      </c>
      <c r="B36">
        <v>23.21</v>
      </c>
      <c r="C36">
        <v>0.82350000000000001</v>
      </c>
      <c r="D36">
        <v>0.25</v>
      </c>
      <c r="E36">
        <v>9.9415581910517132E-4</v>
      </c>
      <c r="F36">
        <v>144.97618227547119</v>
      </c>
      <c r="G36">
        <v>3320.3519999999999</v>
      </c>
      <c r="H36">
        <v>22.902741318508131</v>
      </c>
      <c r="I36">
        <v>6.3300798912797918</v>
      </c>
      <c r="J36">
        <v>0.14497618227547118</v>
      </c>
      <c r="K36">
        <v>2.6851037090043204</v>
      </c>
    </row>
    <row r="37" spans="1:11" x14ac:dyDescent="0.3">
      <c r="A37">
        <v>57.4</v>
      </c>
      <c r="B37">
        <v>21.26</v>
      </c>
      <c r="C37">
        <v>0.70740000000000003</v>
      </c>
      <c r="D37">
        <v>0.25</v>
      </c>
      <c r="E37">
        <v>9.763993188956837E-4</v>
      </c>
      <c r="F37">
        <v>130.42408173241481</v>
      </c>
      <c r="G37">
        <v>2852.2368000000001</v>
      </c>
      <c r="H37">
        <v>21.868942929203868</v>
      </c>
      <c r="I37">
        <v>5.9638951070765298</v>
      </c>
      <c r="J37">
        <v>0.13042408173241479</v>
      </c>
      <c r="K37">
        <v>2.3334710253441151</v>
      </c>
    </row>
    <row r="38" spans="1:11" x14ac:dyDescent="0.3">
      <c r="A38">
        <v>67.5</v>
      </c>
      <c r="B38">
        <v>19.47</v>
      </c>
      <c r="C38">
        <v>0.56520000000000004</v>
      </c>
      <c r="D38">
        <v>0.25</v>
      </c>
      <c r="E38">
        <v>9.899886252915061E-4</v>
      </c>
      <c r="F38">
        <v>121.10531843179619</v>
      </c>
      <c r="G38">
        <v>2278.8864000000003</v>
      </c>
      <c r="H38">
        <v>18.817393236808325</v>
      </c>
      <c r="I38">
        <v>6.4358180172854409</v>
      </c>
      <c r="J38">
        <v>0.12110531843179619</v>
      </c>
      <c r="K38">
        <v>2.8147126988536448</v>
      </c>
    </row>
    <row r="39" spans="1:11" x14ac:dyDescent="0.3">
      <c r="A39">
        <v>82.7</v>
      </c>
      <c r="B39">
        <v>17.760000000000002</v>
      </c>
      <c r="C39">
        <v>0.29239999999999999</v>
      </c>
      <c r="D39">
        <v>0.25</v>
      </c>
      <c r="E39">
        <v>9.7112346530956589E-4</v>
      </c>
      <c r="F39">
        <v>108.36386068991047</v>
      </c>
      <c r="G39">
        <v>1178.9567999999999</v>
      </c>
      <c r="H39">
        <v>10.879612377171151</v>
      </c>
      <c r="I39">
        <v>9.960268521817186</v>
      </c>
      <c r="J39">
        <v>0.10836386068991047</v>
      </c>
      <c r="K39">
        <v>6.3519046611272758</v>
      </c>
    </row>
    <row r="40" spans="1:11" x14ac:dyDescent="0.3">
      <c r="A40">
        <v>101.6</v>
      </c>
      <c r="B40">
        <v>16.059999999999999</v>
      </c>
      <c r="C40">
        <v>0.41799999999999998</v>
      </c>
      <c r="D40">
        <v>0.24979999999999999</v>
      </c>
      <c r="E40">
        <v>9.6667634364460157E-4</v>
      </c>
      <c r="F40">
        <v>97.542457121931648</v>
      </c>
      <c r="G40">
        <v>1686.7253803042433</v>
      </c>
      <c r="H40">
        <v>17.292217461733355</v>
      </c>
      <c r="I40">
        <v>5.6408298899656621</v>
      </c>
      <c r="J40">
        <v>9.7542457121931644E-2</v>
      </c>
      <c r="K40">
        <v>2.0432874328437305</v>
      </c>
    </row>
    <row r="41" spans="1:11" x14ac:dyDescent="0.3">
      <c r="A41" t="s">
        <v>25</v>
      </c>
      <c r="E41">
        <v>9.8042531010063575E-4</v>
      </c>
      <c r="F41">
        <v>138.88554059060687</v>
      </c>
      <c r="G41">
        <v>3108.7495686148918</v>
      </c>
      <c r="H41">
        <v>21.149365684485566</v>
      </c>
      <c r="I41">
        <v>6.7800661303236041</v>
      </c>
      <c r="J41">
        <v>0.13888554059060684</v>
      </c>
      <c r="K41">
        <v>3.1411805897329974</v>
      </c>
    </row>
    <row r="42" spans="1:11" x14ac:dyDescent="0.3">
      <c r="A42" t="s">
        <v>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X42"/>
  <sheetViews>
    <sheetView topLeftCell="A15" zoomScale="94" workbookViewId="0">
      <selection activeCell="T6" sqref="T6"/>
    </sheetView>
  </sheetViews>
  <sheetFormatPr defaultRowHeight="14.4" x14ac:dyDescent="0.3"/>
  <sheetData>
    <row r="1" spans="1:24" x14ac:dyDescent="0.3">
      <c r="A1" t="s">
        <v>11</v>
      </c>
      <c r="B1" t="s">
        <v>12</v>
      </c>
      <c r="C1" t="s">
        <v>0</v>
      </c>
      <c r="D1" t="s">
        <v>1</v>
      </c>
      <c r="F1" t="s">
        <v>2</v>
      </c>
      <c r="G1" t="s">
        <v>3</v>
      </c>
      <c r="H1" t="s">
        <v>4</v>
      </c>
      <c r="J1" t="s">
        <v>5</v>
      </c>
      <c r="K1" t="s">
        <v>3</v>
      </c>
      <c r="L1" t="s">
        <v>4</v>
      </c>
      <c r="N1" t="s">
        <v>2</v>
      </c>
      <c r="O1" t="s">
        <v>3</v>
      </c>
      <c r="P1" t="s">
        <v>6</v>
      </c>
      <c r="Q1" t="s">
        <v>7</v>
      </c>
      <c r="R1" t="s">
        <v>8</v>
      </c>
      <c r="T1" t="s">
        <v>5</v>
      </c>
      <c r="U1" t="s">
        <v>3</v>
      </c>
      <c r="V1" t="s">
        <v>6</v>
      </c>
      <c r="W1" t="s">
        <v>7</v>
      </c>
      <c r="X1" t="s">
        <v>8</v>
      </c>
    </row>
    <row r="2" spans="1:24" x14ac:dyDescent="0.3">
      <c r="B2">
        <v>1E-3</v>
      </c>
      <c r="C2">
        <f>0.03*Values!C34</f>
        <v>4.3533000000000002E-2</v>
      </c>
      <c r="G2">
        <v>1E-3</v>
      </c>
      <c r="H2">
        <f>0.03*Values!H2</f>
        <v>9.9000000000000008E-3</v>
      </c>
      <c r="K2">
        <v>1E-3</v>
      </c>
      <c r="L2">
        <f>0.03*Values!L2</f>
        <v>9.9719999999999982E-3</v>
      </c>
      <c r="O2">
        <f>0.001</f>
        <v>1E-3</v>
      </c>
      <c r="P2">
        <v>0.5</v>
      </c>
      <c r="Q2">
        <f>ERR("=P2*2",Values!P2,Errors!P2)</f>
        <v>0.99999957520984539</v>
      </c>
      <c r="R2">
        <f>ERR("=O2*Q2 / 1000",Values!O2,Errors!O2,Values!Q2,Errors!Q2)</f>
        <v>2.2000091149993035E-2</v>
      </c>
      <c r="U2">
        <f>0.001</f>
        <v>1E-3</v>
      </c>
      <c r="V2">
        <v>0.5</v>
      </c>
      <c r="W2">
        <f>ERR("=V2*2",Values!V2,Errors!V2)</f>
        <v>1.0000005159981367</v>
      </c>
      <c r="X2">
        <f>ERR("=U2*W2 / 1000",Values!U2,Errors!U2,Values!W2,Errors!W2)</f>
        <v>1.8000214884521117E-2</v>
      </c>
    </row>
    <row r="3" spans="1:24" x14ac:dyDescent="0.3">
      <c r="C3">
        <f>0.03*Values!C35</f>
        <v>3.4175999999999998E-2</v>
      </c>
      <c r="G3">
        <v>1E-3</v>
      </c>
      <c r="H3">
        <f>0.03*Values!H3</f>
        <v>1.2213E-2</v>
      </c>
      <c r="K3">
        <v>1E-3</v>
      </c>
      <c r="L3">
        <f>0.03*Values!L3</f>
        <v>1.0787999999999999E-2</v>
      </c>
      <c r="O3">
        <f t="shared" ref="O3:O20" si="0">0.001</f>
        <v>1E-3</v>
      </c>
      <c r="P3">
        <v>0.5</v>
      </c>
      <c r="Q3">
        <f>ERR("=P3*2",Values!P3,Errors!P3)</f>
        <v>1.000000082740371</v>
      </c>
      <c r="R3">
        <f>ERR("=O3*Q3 / 1000",Values!O3,Errors!O3,Values!Q3,Errors!Q3)</f>
        <v>2.2150116737924674E-2</v>
      </c>
      <c r="U3">
        <f t="shared" ref="U3:U20" si="1">0.001</f>
        <v>1E-3</v>
      </c>
      <c r="V3">
        <v>0.5</v>
      </c>
      <c r="W3">
        <f>ERR("=V3*2",Values!V3,Errors!V3)</f>
        <v>0.99999923685616166</v>
      </c>
      <c r="X3">
        <f>ERR("=U3*W3 / 1000",Values!U3,Errors!U3,Values!W3,Errors!W3)</f>
        <v>1.8180174732178096E-2</v>
      </c>
    </row>
    <row r="4" spans="1:24" x14ac:dyDescent="0.3">
      <c r="C4">
        <f>0.03*Values!C36</f>
        <v>2.4704999999999998E-2</v>
      </c>
      <c r="G4">
        <v>1E-3</v>
      </c>
      <c r="H4">
        <f>0.03*Values!H4</f>
        <v>1.4792999999999999E-2</v>
      </c>
      <c r="K4">
        <v>1E-3</v>
      </c>
      <c r="L4">
        <f>0.03*Values!L4</f>
        <v>1.1691E-2</v>
      </c>
      <c r="O4">
        <f t="shared" si="0"/>
        <v>1E-3</v>
      </c>
      <c r="P4">
        <v>0.5</v>
      </c>
      <c r="Q4">
        <f>ERR("=P4*2",Values!P4,Errors!P4)</f>
        <v>1.000000562836814</v>
      </c>
      <c r="R4">
        <f>ERR("=O4*Q4 / 1000",Values!O4,Errors!O4,Values!Q4,Errors!Q4)</f>
        <v>2.230015001857175E-2</v>
      </c>
      <c r="U4">
        <f t="shared" si="1"/>
        <v>1E-3</v>
      </c>
      <c r="V4">
        <v>0.5</v>
      </c>
      <c r="W4">
        <f>ERR("=V4*2",Values!V4,Errors!V4)</f>
        <v>0.99999966963412912</v>
      </c>
      <c r="X4">
        <f>ERR("=U4*W4 / 1000",Values!U4,Errors!U4,Values!W4,Errors!W4)</f>
        <v>1.8360185880236028E-2</v>
      </c>
    </row>
    <row r="5" spans="1:24" x14ac:dyDescent="0.3">
      <c r="C5">
        <f>0.03*Values!C37</f>
        <v>2.1222000000000001E-2</v>
      </c>
      <c r="G5">
        <v>1E-3</v>
      </c>
      <c r="H5">
        <f>0.03*Values!H5</f>
        <v>1.6728E-2</v>
      </c>
      <c r="K5">
        <v>1E-3</v>
      </c>
      <c r="L5">
        <f>0.03*Values!L5</f>
        <v>1.2671999999999999E-2</v>
      </c>
      <c r="O5">
        <f t="shared" si="0"/>
        <v>1E-3</v>
      </c>
      <c r="P5">
        <v>0.5</v>
      </c>
      <c r="Q5">
        <f>ERR("=P5*2",Values!P5,Errors!P5)</f>
        <v>1.000000562836814</v>
      </c>
      <c r="R5">
        <f>ERR("=O5*Q5 / 1000",Values!O5,Errors!O5,Values!Q5,Errors!Q5)</f>
        <v>2.2400159617096349E-2</v>
      </c>
      <c r="U5">
        <f t="shared" si="1"/>
        <v>1E-3</v>
      </c>
      <c r="V5">
        <v>0.5</v>
      </c>
      <c r="W5">
        <f>ERR("=V5*2",Values!V5,Errors!V5)</f>
        <v>0.99999987856142392</v>
      </c>
      <c r="X5">
        <f>ERR("=U5*W5 / 1000",Values!U5,Errors!U5,Values!W5,Errors!W5)</f>
        <v>1.8480196579558492E-2</v>
      </c>
    </row>
    <row r="6" spans="1:24" x14ac:dyDescent="0.3">
      <c r="C6">
        <f>0.03*Values!C38</f>
        <v>1.6955999999999999E-2</v>
      </c>
      <c r="G6">
        <v>1E-3</v>
      </c>
      <c r="H6">
        <f>0.03*Values!H6</f>
        <v>1.8950999999999999E-2</v>
      </c>
      <c r="K6">
        <v>1E-3</v>
      </c>
      <c r="L6">
        <f>0.03*Values!L6</f>
        <v>1.3718999999999999E-2</v>
      </c>
      <c r="O6">
        <f t="shared" si="0"/>
        <v>1E-3</v>
      </c>
      <c r="P6">
        <v>0.5</v>
      </c>
      <c r="Q6">
        <f>ERR("=P6*2",Values!P6,Errors!P6)</f>
        <v>0.99999962726425828</v>
      </c>
      <c r="R6">
        <f>ERR("=O6*Q6 / 1000",Values!O6,Errors!O6,Values!Q6,Errors!Q6)</f>
        <v>2.2550122553130349E-2</v>
      </c>
      <c r="U6">
        <f t="shared" si="1"/>
        <v>1E-3</v>
      </c>
      <c r="V6">
        <v>0.5</v>
      </c>
      <c r="W6">
        <f>ERR("=V6*2",Values!V6,Errors!V6)</f>
        <v>1.0000004774863354</v>
      </c>
      <c r="X6">
        <f>ERR("=U6*W6 / 1000",Values!U6,Errors!U6,Values!W6,Errors!W6)</f>
        <v>1.8700230012785309E-2</v>
      </c>
    </row>
    <row r="7" spans="1:24" x14ac:dyDescent="0.3">
      <c r="C7">
        <f>0.03*Values!C39</f>
        <v>8.7720000000000003E-3</v>
      </c>
      <c r="G7">
        <v>1E-3</v>
      </c>
      <c r="H7">
        <f>0.03*Values!H7</f>
        <v>2.1315000000000001E-2</v>
      </c>
      <c r="K7">
        <v>1E-3</v>
      </c>
      <c r="L7">
        <f>0.03*Values!L7</f>
        <v>1.4747999999999999E-2</v>
      </c>
      <c r="O7">
        <f t="shared" si="0"/>
        <v>1E-3</v>
      </c>
      <c r="P7">
        <v>0.5</v>
      </c>
      <c r="Q7">
        <f>ERR("=P7*2",Values!P7,Errors!P7)</f>
        <v>0.99999923685616166</v>
      </c>
      <c r="R7">
        <f>ERR("=O7*Q7 / 1000",Values!O7,Errors!O7,Values!Q7,Errors!Q7)</f>
        <v>2.2800113529718596E-2</v>
      </c>
      <c r="U7">
        <f t="shared" si="1"/>
        <v>1E-3</v>
      </c>
      <c r="V7">
        <v>0.5</v>
      </c>
      <c r="W7">
        <f>ERR("=V7*2",Values!V7,Errors!V7)</f>
        <v>1.000000082740371</v>
      </c>
      <c r="X7">
        <f>ERR("=U7*W7 / 1000",Values!U7,Errors!U7,Values!W7,Errors!W7)</f>
        <v>1.8900254244600553E-2</v>
      </c>
    </row>
    <row r="8" spans="1:24" x14ac:dyDescent="0.3">
      <c r="C8">
        <f>0.03*Values!C40</f>
        <v>1.2539999999999999E-2</v>
      </c>
      <c r="G8">
        <v>1E-3</v>
      </c>
      <c r="H8">
        <f>0.03*Values!H8</f>
        <v>2.3307000000000001E-2</v>
      </c>
      <c r="K8">
        <v>1E-3</v>
      </c>
      <c r="L8">
        <f>0.03*Values!L8</f>
        <v>1.5695999999999998E-2</v>
      </c>
      <c r="O8">
        <f t="shared" si="0"/>
        <v>1E-3</v>
      </c>
      <c r="P8">
        <v>0.5</v>
      </c>
      <c r="Q8">
        <f>ERR("=P8*2",Values!P8,Errors!P8)</f>
        <v>0.99999970479210731</v>
      </c>
      <c r="R8">
        <f>ERR("=O8*Q8 / 1000",Values!O8,Errors!O8,Values!Q8,Errors!Q8)</f>
        <v>2.3000179639658162E-2</v>
      </c>
      <c r="U8">
        <f t="shared" si="1"/>
        <v>1E-3</v>
      </c>
      <c r="V8">
        <v>0.5</v>
      </c>
      <c r="W8">
        <f>ERR("=V8*5",Values!V8,Errors!V8)</f>
        <v>2.499997246256195</v>
      </c>
      <c r="X8">
        <f>ERR("=U8*W8 / 1000",Values!U8,Errors!U8,Values!W8,Errors!W8)</f>
        <v>4.775006785672168E-2</v>
      </c>
    </row>
    <row r="9" spans="1:24" x14ac:dyDescent="0.3">
      <c r="G9">
        <v>1E-3</v>
      </c>
      <c r="H9">
        <f>0.03*Values!H9</f>
        <v>2.4546000000000002E-2</v>
      </c>
      <c r="K9">
        <v>1E-3</v>
      </c>
      <c r="L9">
        <f>0.03*Values!L9</f>
        <v>1.644E-2</v>
      </c>
      <c r="O9">
        <f t="shared" si="0"/>
        <v>1E-3</v>
      </c>
      <c r="P9">
        <v>0.5</v>
      </c>
      <c r="Q9">
        <f>ERR("=P9*2",Values!P9,Errors!P9)</f>
        <v>0.99999937219763524</v>
      </c>
      <c r="R9">
        <f>ERR("=O9*Q9 / 1000",Values!O9,Errors!O9,Values!Q9,Errors!Q9)</f>
        <v>2.3100168331391654E-2</v>
      </c>
      <c r="U9">
        <f t="shared" si="1"/>
        <v>1E-3</v>
      </c>
      <c r="V9">
        <v>0.5</v>
      </c>
      <c r="W9">
        <f>ERR("=V9*5",Values!V9,Errors!V9)</f>
        <v>2.4999993994160001</v>
      </c>
      <c r="X9">
        <f>ERR("=U9*W9 / 1000",Values!U9,Errors!U9,Values!W9,Errors!W9)</f>
        <v>4.8000102333393906E-2</v>
      </c>
    </row>
    <row r="10" spans="1:24" x14ac:dyDescent="0.3">
      <c r="A10" t="s">
        <v>9</v>
      </c>
      <c r="G10">
        <v>1E-3</v>
      </c>
      <c r="H10">
        <f>0.03*Values!H10</f>
        <v>2.4455999999999999E-2</v>
      </c>
      <c r="K10">
        <v>1E-3</v>
      </c>
      <c r="L10">
        <f>0.03*Values!L10</f>
        <v>1.6865999999999999E-2</v>
      </c>
      <c r="O10">
        <f t="shared" si="0"/>
        <v>1E-3</v>
      </c>
      <c r="P10">
        <v>0.5</v>
      </c>
      <c r="Q10">
        <f>ERR("=P10*2",Values!P10,Errors!P10)</f>
        <v>1.0000003212648489</v>
      </c>
      <c r="R10">
        <f>ERR("=3.14 +O10*Q10 / 1000",Values!O10,Errors!O10,Values!Q10,Errors!Q10)</f>
        <v>0.11102233813007888</v>
      </c>
      <c r="U10">
        <f t="shared" si="1"/>
        <v>1E-3</v>
      </c>
      <c r="V10">
        <v>0.5</v>
      </c>
      <c r="W10">
        <f>ERR("=V10*5",Values!V10,Errors!V10)</f>
        <v>2.499998276028276</v>
      </c>
      <c r="X10">
        <f>ERR("=U10*W10 / 1000",Values!U10,Errors!U10,Values!W10,Errors!W10)</f>
        <v>4.8250155071365909E-2</v>
      </c>
    </row>
    <row r="11" spans="1:24" x14ac:dyDescent="0.3">
      <c r="A11" t="s">
        <v>10</v>
      </c>
      <c r="G11">
        <v>1E-3</v>
      </c>
      <c r="H11">
        <f>0.03*Values!H11</f>
        <v>2.3130000000000001E-2</v>
      </c>
      <c r="K11">
        <v>1E-3</v>
      </c>
      <c r="L11">
        <f>0.03*Values!L11</f>
        <v>1.6934999999999999E-2</v>
      </c>
      <c r="O11">
        <f t="shared" si="0"/>
        <v>1E-3</v>
      </c>
      <c r="P11">
        <v>0.5</v>
      </c>
      <c r="Q11">
        <f>ERR("=P11*2",Values!P11,Errors!P11)</f>
        <v>1.000000082740371</v>
      </c>
      <c r="R11">
        <f>ERR("=3.14 +O11*Q11 / 1000",Values!O11,Errors!O11,Values!Q11,Errors!Q11)</f>
        <v>2.3250292849527988E-2</v>
      </c>
      <c r="U11">
        <f t="shared" si="1"/>
        <v>1E-3</v>
      </c>
      <c r="V11">
        <v>0.5</v>
      </c>
      <c r="W11">
        <f>ERR("=V11*5",Values!V11,Errors!V11)</f>
        <v>2.5000002068509275</v>
      </c>
      <c r="X11">
        <f>ERR("=U11*W11 / 1000",Values!U11,Errors!U11,Values!W11,Errors!W11)</f>
        <v>4.8500152778442315E-2</v>
      </c>
    </row>
    <row r="12" spans="1:24" x14ac:dyDescent="0.3">
      <c r="G12">
        <v>1E-3</v>
      </c>
      <c r="H12">
        <f>0.03*Values!H12</f>
        <v>2.1186E-2</v>
      </c>
      <c r="K12">
        <v>1E-3</v>
      </c>
      <c r="L12">
        <f>0.03*Values!L12</f>
        <v>1.6896000000000001E-2</v>
      </c>
      <c r="O12">
        <f t="shared" si="0"/>
        <v>1E-3</v>
      </c>
      <c r="P12">
        <v>0.5</v>
      </c>
      <c r="Q12">
        <f>ERR("=P12*2",Values!P12,Errors!P12)</f>
        <v>1.000000082740371</v>
      </c>
      <c r="R12">
        <f>ERR("=3.14 +O12*Q12 / 1000",Values!O12,Errors!O12,Values!Q12,Errors!Q12)</f>
        <v>2.3300253318219961E-2</v>
      </c>
      <c r="U12">
        <f t="shared" si="1"/>
        <v>1E-3</v>
      </c>
      <c r="V12">
        <v>0.5</v>
      </c>
      <c r="W12">
        <f>ERR("=V12*2",Values!V12,Errors!V12)</f>
        <v>1.000000082740371</v>
      </c>
      <c r="X12">
        <f>ERR("=3.14 + U12*W12 / 1000",Values!U12,Errors!U12,Values!W12,Errors!W12)</f>
        <v>1.9499958920513809E-2</v>
      </c>
    </row>
    <row r="13" spans="1:24" x14ac:dyDescent="0.3">
      <c r="G13">
        <v>1E-3</v>
      </c>
      <c r="H13">
        <f>0.03*Values!H13</f>
        <v>1.8950999999999999E-2</v>
      </c>
      <c r="K13">
        <v>1E-3</v>
      </c>
      <c r="L13">
        <f>0.03*Values!L13</f>
        <v>1.6574999999999999E-2</v>
      </c>
      <c r="O13">
        <f t="shared" si="0"/>
        <v>1E-3</v>
      </c>
      <c r="P13">
        <v>0.5</v>
      </c>
      <c r="Q13">
        <f>ERR("=P13*2",Values!P13,Errors!P13)</f>
        <v>1.000000082740371</v>
      </c>
      <c r="R13">
        <f>ERR("=3.14 +O13*Q13 / 1000",Values!O13,Errors!O13,Values!Q13,Errors!Q13)</f>
        <v>2.3399920031925994E-2</v>
      </c>
      <c r="U13">
        <f t="shared" si="1"/>
        <v>1E-3</v>
      </c>
      <c r="V13">
        <v>0.5</v>
      </c>
      <c r="W13">
        <f>ERR("=V13*2",Values!V13,Errors!V13)</f>
        <v>1.000000082740371</v>
      </c>
      <c r="X13">
        <f>ERR("=3.14 + U13*W13 / 1000",Values!U13,Errors!U13,Values!W13,Errors!W13)</f>
        <v>1.9600103494089884E-2</v>
      </c>
    </row>
    <row r="14" spans="1:24" x14ac:dyDescent="0.3">
      <c r="G14">
        <v>1E-3</v>
      </c>
      <c r="H14">
        <f>0.03*Values!H14</f>
        <v>1.686E-2</v>
      </c>
      <c r="K14">
        <v>1E-3</v>
      </c>
      <c r="L14">
        <f>0.03*Values!L14</f>
        <v>1.5882E-2</v>
      </c>
      <c r="O14">
        <f t="shared" si="0"/>
        <v>1E-3</v>
      </c>
      <c r="P14">
        <v>0.5</v>
      </c>
      <c r="Q14">
        <f>ERR("=P14*2",Values!P14,Errors!P14)</f>
        <v>0.9999993104113104</v>
      </c>
      <c r="R14">
        <f>ERR("=3.14 +O14*Q14 / 1000",Values!O14,Errors!O14,Values!Q14,Errors!Q14)</f>
        <v>2.3599957497329509E-2</v>
      </c>
      <c r="U14">
        <f t="shared" si="1"/>
        <v>1E-3</v>
      </c>
      <c r="V14">
        <v>0.5</v>
      </c>
      <c r="W14">
        <f>ERR("=V14*2",Values!V14,Errors!V14)</f>
        <v>0.99999903782458299</v>
      </c>
      <c r="X14">
        <f>ERR("=3.14 + U14*W14 / 1000",Values!U14,Errors!U14,Values!W14,Errors!W14)</f>
        <v>1.9699916343640107E-2</v>
      </c>
    </row>
    <row r="15" spans="1:24" x14ac:dyDescent="0.3">
      <c r="G15">
        <v>1E-3</v>
      </c>
      <c r="H15">
        <f>0.03*Values!H15</f>
        <v>1.5032999999999999E-2</v>
      </c>
      <c r="K15">
        <v>1E-3</v>
      </c>
      <c r="L15">
        <f>0.03*Values!L15</f>
        <v>1.4985E-2</v>
      </c>
      <c r="O15">
        <f t="shared" si="0"/>
        <v>1E-3</v>
      </c>
      <c r="P15">
        <v>0.5</v>
      </c>
      <c r="Q15">
        <f>ERR("=P15*2",Values!P15,Errors!P15)</f>
        <v>1.000000082740371</v>
      </c>
      <c r="R15">
        <f>ERR("=3.14 +O15*Q15 / 1000",Values!O15,Errors!O15,Values!Q15,Errors!Q15)</f>
        <v>2.3799945870466774E-2</v>
      </c>
      <c r="U15">
        <f t="shared" si="1"/>
        <v>1E-3</v>
      </c>
      <c r="V15">
        <v>0.5</v>
      </c>
      <c r="W15">
        <f>ERR("=V15*2",Values!V15,Errors!V15)</f>
        <v>1.000000082740371</v>
      </c>
      <c r="X15">
        <f>ERR("=3.14 + U15*W15 / 1000",Values!U15,Errors!U15,Values!W15,Errors!W15)</f>
        <v>1.9800011160488507E-2</v>
      </c>
    </row>
    <row r="16" spans="1:24" x14ac:dyDescent="0.3">
      <c r="G16">
        <v>1E-3</v>
      </c>
      <c r="H16">
        <f>0.03*Values!H16</f>
        <v>1.3356E-2</v>
      </c>
      <c r="K16">
        <v>1E-3</v>
      </c>
      <c r="L16">
        <f>0.03*Values!L16</f>
        <v>1.4031E-2</v>
      </c>
      <c r="O16">
        <f t="shared" si="0"/>
        <v>1E-3</v>
      </c>
      <c r="P16">
        <v>0.5</v>
      </c>
      <c r="Q16">
        <f>ERR("=P16*2",Values!P16,Errors!P16)</f>
        <v>0.99999903782458299</v>
      </c>
      <c r="R16">
        <f>ERR("=3.14 +O16*Q16 / 1000",Values!O16,Errors!O16,Values!Q16,Errors!Q16)</f>
        <v>2.3999953343532492E-2</v>
      </c>
      <c r="U16">
        <f t="shared" si="1"/>
        <v>1E-3</v>
      </c>
      <c r="V16">
        <v>0.5</v>
      </c>
      <c r="W16">
        <f>ERR("=V16*2",Values!V16,Errors!V16)</f>
        <v>1.0000006210303223</v>
      </c>
      <c r="X16">
        <f>ERR("=3.14 + U16*W16 / 1000",Values!U16,Errors!U16,Values!W16,Errors!W16)</f>
        <v>2.0000068214932627E-2</v>
      </c>
    </row>
    <row r="17" spans="1:24" x14ac:dyDescent="0.3">
      <c r="G17">
        <v>1E-3</v>
      </c>
      <c r="H17">
        <f>0.03*Values!H17</f>
        <v>1.0884E-2</v>
      </c>
      <c r="K17">
        <v>1E-3</v>
      </c>
      <c r="L17">
        <f>0.03*Values!L17</f>
        <v>1.3035E-2</v>
      </c>
      <c r="O17">
        <f t="shared" si="0"/>
        <v>1E-3</v>
      </c>
      <c r="P17">
        <v>0.5</v>
      </c>
      <c r="Q17">
        <f>ERR("=P17*2",Values!P17,Errors!P17)</f>
        <v>1.000000082740371</v>
      </c>
      <c r="R17">
        <f>ERR("=3.14 +O17*Q17 / 1000",Values!O17,Errors!O17,Values!Q17,Errors!Q17)</f>
        <v>2.4200053479398752E-2</v>
      </c>
      <c r="U17">
        <f t="shared" si="1"/>
        <v>1E-3</v>
      </c>
      <c r="V17">
        <v>0.5</v>
      </c>
      <c r="W17">
        <f>ERR("=V17*2",Values!V17,Errors!V17)</f>
        <v>0.99999914781571864</v>
      </c>
      <c r="X17">
        <f>ERR("=3.14 + U17*W17 / 1000",Values!U17,Errors!U17,Values!W17,Errors!W17)</f>
        <v>2.0200000566371928E-2</v>
      </c>
    </row>
    <row r="18" spans="1:24" x14ac:dyDescent="0.3">
      <c r="G18">
        <v>1E-3</v>
      </c>
      <c r="H18">
        <f>0.03*Values!H18</f>
        <v>9.1260000000000004E-3</v>
      </c>
      <c r="K18">
        <v>1E-3</v>
      </c>
      <c r="L18">
        <f>0.03*Values!L18</f>
        <v>1.2083999999999999E-2</v>
      </c>
      <c r="O18">
        <f t="shared" si="0"/>
        <v>1E-3</v>
      </c>
      <c r="P18">
        <v>0.5</v>
      </c>
      <c r="Q18">
        <f>ERR("=P18*2",Values!P18,Errors!P18)</f>
        <v>0.99999914781571864</v>
      </c>
      <c r="R18">
        <f>ERR("=3.14 +O18*Q18 / 1000",Values!O18,Errors!O18,Values!Q18,Errors!Q18)</f>
        <v>2.4400022969765386E-2</v>
      </c>
      <c r="U18">
        <f t="shared" si="1"/>
        <v>1E-3</v>
      </c>
      <c r="V18">
        <v>0.5</v>
      </c>
      <c r="W18">
        <f>ERR("=V18*2",Values!V18,Errors!V18)</f>
        <v>0.99999923685616166</v>
      </c>
      <c r="X18">
        <f>ERR("=3.14 + U18*W18 / 1000",Values!U18,Errors!U18,Values!W18,Errors!W18)</f>
        <v>2.0400058538097652E-2</v>
      </c>
    </row>
    <row r="19" spans="1:24" x14ac:dyDescent="0.3">
      <c r="G19">
        <v>1E-3</v>
      </c>
      <c r="H19">
        <f>0.03*Values!H19</f>
        <v>7.8720000000000005E-3</v>
      </c>
      <c r="K19">
        <v>1E-3</v>
      </c>
      <c r="L19">
        <f>0.03*Values!L19</f>
        <v>1.0992E-2</v>
      </c>
      <c r="O19">
        <f t="shared" si="0"/>
        <v>1E-3</v>
      </c>
      <c r="P19">
        <v>0.5</v>
      </c>
      <c r="Q19">
        <f>ERR("=P19*2",Values!P19,Errors!P19)</f>
        <v>1.000000082740371</v>
      </c>
      <c r="R19">
        <f>ERR("=3.14 +O19*Q19 / 1000",Values!O19,Errors!O19,Values!Q19,Errors!Q19)</f>
        <v>2.460002326843512E-2</v>
      </c>
      <c r="U19">
        <f t="shared" si="1"/>
        <v>1E-3</v>
      </c>
      <c r="V19">
        <v>0.5</v>
      </c>
      <c r="W19">
        <f>ERR("=V19*2",Values!V19,Errors!V19)</f>
        <v>0.9999993104113104</v>
      </c>
      <c r="X19">
        <f>ERR("=3.14 + U19*W19 / 1000",Values!U19,Errors!U19,Values!W19,Errors!W19)</f>
        <v>2.0700000318969576E-2</v>
      </c>
    </row>
    <row r="20" spans="1:24" x14ac:dyDescent="0.3">
      <c r="G20">
        <v>1E-3</v>
      </c>
      <c r="H20">
        <f>0.03*Values!H20</f>
        <v>6.860999999999999E-3</v>
      </c>
      <c r="K20">
        <v>1E-3</v>
      </c>
      <c r="L20">
        <f>0.03*Values!L20</f>
        <v>1.0026E-2</v>
      </c>
      <c r="O20">
        <f t="shared" si="0"/>
        <v>1E-3</v>
      </c>
      <c r="P20">
        <v>0.5</v>
      </c>
      <c r="Q20">
        <f>ERR("=P20*2",Values!P20,Errors!P20)</f>
        <v>1.000000082740371</v>
      </c>
      <c r="R20">
        <f>ERR("=3.14 +O20*Q20 / 1000",Values!O20,Errors!O20,Values!Q20,Errors!Q20)</f>
        <v>2.4800085211846776E-2</v>
      </c>
      <c r="U20">
        <f t="shared" si="1"/>
        <v>1E-3</v>
      </c>
      <c r="V20">
        <v>0.5</v>
      </c>
      <c r="W20">
        <f>ERR("=V20*2",Values!V20,Errors!V20)</f>
        <v>1.000000082740371</v>
      </c>
      <c r="X20">
        <f>ERR("=3.14 + U20*W20 / 1000",Values!U20,Errors!U20,Values!W20,Errors!W20)</f>
        <v>2.1000017623879656E-2</v>
      </c>
    </row>
    <row r="22" spans="1:24" x14ac:dyDescent="0.3">
      <c r="A22" t="s">
        <v>11</v>
      </c>
      <c r="B22" t="s">
        <v>15</v>
      </c>
      <c r="C22" t="s">
        <v>3</v>
      </c>
      <c r="D22" t="s">
        <v>16</v>
      </c>
      <c r="E22" t="s">
        <v>4</v>
      </c>
      <c r="F22" t="s">
        <v>13</v>
      </c>
      <c r="G22" t="s">
        <v>19</v>
      </c>
      <c r="H22" t="s">
        <v>14</v>
      </c>
      <c r="I22" t="s">
        <v>17</v>
      </c>
      <c r="J22" t="s">
        <v>9</v>
      </c>
      <c r="K22" t="s">
        <v>21</v>
      </c>
      <c r="L22" t="s">
        <v>18</v>
      </c>
      <c r="M22" t="s">
        <v>20</v>
      </c>
      <c r="N22" t="s">
        <v>22</v>
      </c>
      <c r="O22" t="s">
        <v>23</v>
      </c>
      <c r="P22" t="s">
        <v>24</v>
      </c>
    </row>
    <row r="23" spans="1:24" x14ac:dyDescent="0.3">
      <c r="A23">
        <v>0.1</v>
      </c>
      <c r="B23">
        <f>ERR("=A23/1000000000",Values!A23,Errors!A23)</f>
        <v>9.9999940441917618E-11</v>
      </c>
      <c r="C23">
        <v>1E-3</v>
      </c>
      <c r="D23">
        <f>ERR("=C23*1000",Values!C23,Errors!C23)</f>
        <v>1.0000007231978154</v>
      </c>
      <c r="E23">
        <f>0.03*Values!E23</f>
        <v>4.3533000000000002E-2</v>
      </c>
      <c r="F23">
        <f>0.03*Values!F23</f>
        <v>7.4999999999999997E-3</v>
      </c>
      <c r="G23">
        <f>ERR("=F23",Values!F23,Errors!F23)</f>
        <v>7.5000006205527825E-3</v>
      </c>
      <c r="H23">
        <f>ERR("=1/(B23*(2*3.1415*D23)^2)",Values!B23,Errors!B23,Values!D23,Errors!D23)</f>
        <v>3.898292872116035E-6</v>
      </c>
      <c r="I23">
        <f>ERR("=1/(2*3.1415*D23*B23)",Values!D23,Errors!D23,Values!B23,Errors!B23)</f>
        <v>0.78659209417694798</v>
      </c>
      <c r="J23">
        <v>0.1</v>
      </c>
      <c r="K23">
        <v>1</v>
      </c>
      <c r="L23">
        <f>ERR("=E23/G23*K23",Values!E23,Errors!E23,Values!G23,Errors!G23,Values!K23,Errors!K23)</f>
        <v>248.29772682154723</v>
      </c>
      <c r="M23">
        <f>ERR("=E23*K23/F23/I23",Values!E23,Errors!E23,Values!K23,Errors!K23,Values!F23,Errors!F23,Values!I23,Errors!I23)</f>
        <v>4.8458270427336969E-2</v>
      </c>
      <c r="N23">
        <f>ERR("=G23/E23/K23/B23*H23",Values!G23,Errors!G23,Values!E23,Errors!E23,Values!K23,Errors!K23,Values!B23,Errors!B23,Values!H23,Errors!H23)</f>
        <v>3.0517655618711634E-3</v>
      </c>
      <c r="O23">
        <f>ERR("=10^(-3)*1/(2*3.1415*D23*B23)",Values!D23,Errors!D23,Values!B23,Errors!B23)</f>
        <v>7.8659223572275308E-4</v>
      </c>
      <c r="P23">
        <f>ERR("=N23-J23-O23",Values!N23,Errors!N23,Values!J23,Errors!J23,Values!O23,Errors!O23)</f>
        <v>0.10004965597777424</v>
      </c>
    </row>
    <row r="24" spans="1:24" x14ac:dyDescent="0.3">
      <c r="A24">
        <v>0.1</v>
      </c>
      <c r="B24">
        <f>ERR("=A24/1000000000",Values!A24,Errors!A24)</f>
        <v>9.9999857457830813E-11</v>
      </c>
      <c r="C24">
        <v>1E-3</v>
      </c>
      <c r="D24">
        <f>ERR("=C24*1000",Values!C24,Errors!C24)</f>
        <v>1.0000007712111674</v>
      </c>
      <c r="E24">
        <f>0.03*Values!E24</f>
        <v>3.4175999999999998E-2</v>
      </c>
      <c r="F24">
        <f>0.03*Values!F24</f>
        <v>7.4999999999999997E-3</v>
      </c>
      <c r="G24">
        <f>ERR("=F24",Values!F24,Errors!F24)</f>
        <v>7.5000006205527825E-3</v>
      </c>
      <c r="H24">
        <f>ERR("=1/(B24*(2*3.1415*D24)^2)",Values!B24,Errors!B24,Values!D24,Errors!D24)</f>
        <v>2.971569192008495E-6</v>
      </c>
      <c r="I24">
        <f>ERR("=1/(2*3.1415*D24*B24)",Values!D24,Errors!D24,Values!B24,Errors!B24)</f>
        <v>0.51918658780168125</v>
      </c>
      <c r="J24">
        <v>0.1</v>
      </c>
      <c r="K24">
        <v>1</v>
      </c>
      <c r="L24">
        <f>ERR("=E24/G24*K24",Values!E24,Errors!E24,Values!G24,Errors!G24,Values!K24,Errors!K24)</f>
        <v>194.92849440037844</v>
      </c>
      <c r="M24">
        <f>ERR("=E24*K24/F24/I24",Values!E24,Errors!E24,Values!K24,Errors!K24,Values!F24,Errors!F24,Values!I24,Errors!I24)</f>
        <v>3.3149520533709446E-2</v>
      </c>
      <c r="N24">
        <f>ERR("=G24/E24/K24/B24*H24",Values!G24,Errors!G24,Values!E24,Errors!E24,Values!K24,Errors!K24,Values!B24,Errors!B24,Values!H24,Errors!H24)</f>
        <v>5.0814761602280649E-3</v>
      </c>
      <c r="O24">
        <f>ERR("=10^(-3)*1/(2*3.1415*D24*B24)",Values!D24,Errors!D24,Values!B24,Errors!B24)</f>
        <v>5.191867282628163E-4</v>
      </c>
      <c r="P24">
        <f>ERR("=N24-J24-O24",Values!N24,Errors!N24,Values!J24,Errors!J24,Values!O24,Errors!O24)</f>
        <v>0.1001303781872616</v>
      </c>
    </row>
    <row r="25" spans="1:24" x14ac:dyDescent="0.3">
      <c r="A25">
        <v>0.1</v>
      </c>
      <c r="B25">
        <f>ERR("=A25/1000000000",Values!A25,Errors!A25)</f>
        <v>9.9999945319038552E-11</v>
      </c>
      <c r="C25">
        <v>1E-3</v>
      </c>
      <c r="D25">
        <f>ERR("=C25*1000",Values!C25,Errors!C25)</f>
        <v>0.9999990250388836</v>
      </c>
      <c r="E25">
        <f>0.03*Values!E25</f>
        <v>2.4704999999999998E-2</v>
      </c>
      <c r="F25">
        <f>0.03*Values!F25</f>
        <v>7.4999999999999997E-3</v>
      </c>
      <c r="G25">
        <f>ERR("=F25",Values!F25,Errors!F25)</f>
        <v>7.5000006205527825E-3</v>
      </c>
      <c r="H25">
        <f>ERR("=1/(B25*(2*3.1415*D25)^2)",Values!B25,Errors!B25,Values!D25,Errors!D25)</f>
        <v>2.1035535014366491E-6</v>
      </c>
      <c r="I25">
        <f>ERR("=1/(2*3.1415*D25*B25)",Values!D25,Errors!D25,Values!B25,Errors!B25)</f>
        <v>0.30656667243143437</v>
      </c>
      <c r="J25">
        <v>0.1</v>
      </c>
      <c r="K25">
        <v>1</v>
      </c>
      <c r="L25">
        <f>ERR("=E25/G25*K25",Values!E25,Errors!E25,Values!G25,Errors!G25,Values!K25,Errors!K25)</f>
        <v>140.90918957148895</v>
      </c>
      <c r="M25">
        <f>ERR("=E25*K25/F25/I25",Values!E25,Errors!E25,Values!K25,Errors!K25,Values!F25,Errors!F25,Values!I25,Errors!I25)</f>
        <v>2.0130439922037988E-2</v>
      </c>
      <c r="N25">
        <f>ERR("=G25/E25/K25/B25*H25",Values!G25,Errors!G25,Values!E25,Errors!E25,Values!K25,Errors!K25,Values!B25,Errors!B25,Values!H25,Errors!H25)</f>
        <v>9.9104722006622663E-3</v>
      </c>
      <c r="O25">
        <f>ERR("=10^(-3)*1/(2*3.1415*D25*B25)",Values!D25,Errors!D25,Values!B25,Errors!B25)</f>
        <v>3.0656688594269749E-4</v>
      </c>
      <c r="P25">
        <f>ERR("=N25-J25-O25",Values!N25,Errors!N25,Values!J25,Errors!J25,Values!O25,Errors!O25)</f>
        <v>0.10049036369863516</v>
      </c>
    </row>
    <row r="26" spans="1:24" x14ac:dyDescent="0.3">
      <c r="A26">
        <v>0.1</v>
      </c>
      <c r="B26">
        <f>ERR("=A26/1000000000",Values!A26,Errors!A26)</f>
        <v>9.9999968230097049E-11</v>
      </c>
      <c r="C26">
        <v>1E-3</v>
      </c>
      <c r="D26">
        <f>ERR("=C26*1000",Values!C26,Errors!C26)</f>
        <v>1.0000001195041059</v>
      </c>
      <c r="E26">
        <f>0.03*Values!E26</f>
        <v>2.1222000000000001E-2</v>
      </c>
      <c r="F26">
        <f>0.03*Values!F26</f>
        <v>7.4999999999999997E-3</v>
      </c>
      <c r="G26">
        <f>ERR("=F26",Values!F26,Errors!F26)</f>
        <v>7.5000006205527825E-3</v>
      </c>
      <c r="H26">
        <f>ERR("=1/(B26*(2*3.1415*D26)^2)",Values!B26,Errors!B26,Values!D26,Errors!D26)</f>
        <v>1.7035209279559642E-6</v>
      </c>
      <c r="I26">
        <f>ERR("=1/(2*3.1415*D26*B26)",Values!D26,Errors!D26,Values!B26,Errors!B26)</f>
        <v>0.22730241182979546</v>
      </c>
      <c r="J26">
        <v>0.1</v>
      </c>
      <c r="K26">
        <v>1</v>
      </c>
      <c r="L26">
        <f>ERR("=E26/G26*K26",Values!E26,Errors!E26,Values!G26,Errors!G26,Values!K26,Errors!K26)</f>
        <v>121.04314442343389</v>
      </c>
      <c r="M26">
        <f>ERR("=E26*K26/F26/I26",Values!E26,Errors!E26,Values!K26,Errors!K26,Values!F26,Errors!F26,Values!I26,Errors!I26)</f>
        <v>1.5550447448644542E-2</v>
      </c>
      <c r="N26">
        <f>ERR("=G26/E26/K26/B26*H26",Values!G26,Errors!G26,Values!E26,Errors!E26,Values!K26,Errors!K26,Values!B26,Errors!B26,Values!H26,Errors!H26)</f>
        <v>1.4243823912915156E-2</v>
      </c>
      <c r="O26">
        <f>ERR("=10^(-3)*1/(2*3.1415*D26*B26)",Values!D26,Errors!D26,Values!B26,Errors!B26)</f>
        <v>2.2730224929897892E-4</v>
      </c>
      <c r="P26">
        <f>ERR("=N26-J26-O26",Values!N26,Errors!N26,Values!J26,Errors!J26,Values!O26,Errors!O26)</f>
        <v>0.10100960303300913</v>
      </c>
    </row>
    <row r="27" spans="1:24" x14ac:dyDescent="0.3">
      <c r="A27">
        <v>0.1</v>
      </c>
      <c r="B27">
        <f>ERR("=A27/1000000000",Values!A27,Errors!A27)</f>
        <v>9.9999984284809162E-11</v>
      </c>
      <c r="C27">
        <v>1E-3</v>
      </c>
      <c r="D27">
        <f>ERR("=C27*1000",Values!C27,Errors!C27)</f>
        <v>1.0000004020649185</v>
      </c>
      <c r="E27">
        <f>0.03*Values!E27</f>
        <v>1.6955999999999999E-2</v>
      </c>
      <c r="F27">
        <f>0.03*Values!F27</f>
        <v>7.4999999999999997E-3</v>
      </c>
      <c r="G27">
        <f>ERR("=F27",Values!F27,Errors!F27)</f>
        <v>7.5000006205527825E-3</v>
      </c>
      <c r="H27">
        <f>ERR("=1/(B27*(2*3.1415*D27)^2)",Values!B27,Errors!B27,Values!D27,Errors!D27)</f>
        <v>1.4701720073784115E-6</v>
      </c>
      <c r="I27">
        <f>ERR("=1/(2*3.1415*D27*B27)",Values!D27,Errors!D27,Values!B27,Errors!B27)</f>
        <v>0.1795229596544364</v>
      </c>
      <c r="J27">
        <v>0.1</v>
      </c>
      <c r="K27">
        <v>1</v>
      </c>
      <c r="L27">
        <f>ERR("=E27/G27*K27",Values!E27,Errors!E27,Values!G27,Errors!G27,Values!K27,Errors!K27)</f>
        <v>96.711409956069886</v>
      </c>
      <c r="M27">
        <f>ERR("=E27*K27/F27/I27",Values!E27,Errors!E27,Values!K27,Errors!K27,Values!F27,Errors!F27,Values!I27,Errors!I27)</f>
        <v>1.1534132801644321E-2</v>
      </c>
      <c r="N27">
        <f>ERR("=G27/E27/K27/B27*H27",Values!G27,Errors!G27,Values!E27,Errors!E27,Values!K27,Errors!K27,Values!B27,Errors!B27,Values!H27,Errors!H27)</f>
        <v>2.0666973568920288E-2</v>
      </c>
      <c r="O27">
        <f>ERR("=10^(-3)*1/(2*3.1415*D27*B27)",Values!D27,Errors!D27,Values!B27,Errors!B27)</f>
        <v>1.7952309131545567E-4</v>
      </c>
      <c r="P27">
        <f>ERR("=N27-J27-O27",Values!N27,Errors!N27,Values!J27,Errors!J27,Values!O27,Errors!O27)</f>
        <v>0.10211345672634223</v>
      </c>
    </row>
    <row r="28" spans="1:24" x14ac:dyDescent="0.3">
      <c r="A28">
        <v>0.1</v>
      </c>
      <c r="B28">
        <f>ERR("=A28/1000000000",Values!A28,Errors!A28)</f>
        <v>1.0000007473418817E-10</v>
      </c>
      <c r="C28">
        <v>1E-3</v>
      </c>
      <c r="D28">
        <f>ERR("=C28*1000",Values!C28,Errors!C28)</f>
        <v>1.0000006908625321</v>
      </c>
      <c r="E28">
        <f>0.03*Values!E28</f>
        <v>8.7720000000000003E-3</v>
      </c>
      <c r="F28">
        <f>0.03*Values!F28</f>
        <v>7.4999999999999997E-3</v>
      </c>
      <c r="G28">
        <f>ERR("=F28",Values!F28,Errors!F28)</f>
        <v>7.5000006205527825E-3</v>
      </c>
      <c r="H28">
        <f>ERR("=1/(B28*(2*3.1415*D28)^2)",Values!B28,Errors!B28,Values!D28,Errors!D28)</f>
        <v>1.1793551932239429E-6</v>
      </c>
      <c r="I28">
        <f>ERR("=1/(2*3.1415*D28*B28)",Values!D28,Errors!D28,Values!B28,Errors!B28)</f>
        <v>0.1311747541344116</v>
      </c>
      <c r="J28">
        <v>0.1</v>
      </c>
      <c r="K28">
        <v>1</v>
      </c>
      <c r="L28">
        <f>ERR("=E28/G28*K28",Values!E28,Errors!E28,Values!G28,Errors!G28,Values!K28,Errors!K28)</f>
        <v>50.032557788635522</v>
      </c>
      <c r="M28">
        <f>ERR("=E28*K28/F28/I28",Values!E28,Errors!E28,Values!K28,Errors!K28,Values!F28,Errors!F28,Values!I28,Errors!I28)</f>
        <v>5.338173650014327E-3</v>
      </c>
      <c r="N28">
        <f>ERR("=G28/E28/K28/B28*H28",Values!G28,Errors!G28,Values!E28,Errors!E28,Values!K28,Errors!K28,Values!B28,Errors!B28,Values!H28,Errors!H28)</f>
        <v>4.9875006506704907E-2</v>
      </c>
      <c r="O28">
        <f>ERR("=10^(-3)*1/(2*3.1415*D28*B28)",Values!D28,Errors!D28,Values!B28,Errors!B28)</f>
        <v>1.311747447312907E-4</v>
      </c>
      <c r="P28">
        <f>ERR("=N28-J28-O28",Values!N28,Errors!N28,Values!J28,Errors!J28,Values!O28,Errors!O28)</f>
        <v>0.11174762968019653</v>
      </c>
    </row>
    <row r="29" spans="1:24" x14ac:dyDescent="0.3">
      <c r="A29">
        <v>0.1</v>
      </c>
      <c r="B29">
        <f>ERR("=A29/1000000000",Values!A29,Errors!A29)</f>
        <v>9.9999948486149827E-11</v>
      </c>
      <c r="C29">
        <v>1E-3</v>
      </c>
      <c r="D29">
        <f>ERR("=C29*1000",Values!C29,Errors!C29)</f>
        <v>1.0000007508098177</v>
      </c>
      <c r="E29">
        <f>0.03*Values!E29</f>
        <v>1.2539999999999999E-2</v>
      </c>
      <c r="F29">
        <f>0.03*Values!F29</f>
        <v>7.4939999999999998E-3</v>
      </c>
      <c r="G29">
        <f>ERR("=F29",Values!F29,Errors!F29)</f>
        <v>7.493997089547122E-3</v>
      </c>
      <c r="H29">
        <f>ERR("=1/(B29*(2*3.1415*D29)^2)",Values!B29,Errors!B29,Values!D29,Errors!D29)</f>
        <v>9.590386271928354E-7</v>
      </c>
      <c r="I29">
        <f>ERR("=1/(2*3.1415*D29*B29)",Values!D29,Errors!D29,Values!B29,Errors!B29)</f>
        <v>9.6198368663536649E-2</v>
      </c>
      <c r="J29">
        <v>0.1</v>
      </c>
      <c r="K29">
        <v>1</v>
      </c>
      <c r="L29">
        <f>ERR("=E29/G29*K29",Values!E29,Errors!E29,Values!G29,Errors!G29,Values!K29,Errors!K29)</f>
        <v>71.581228519084561</v>
      </c>
      <c r="M29">
        <f>ERR("=E29*K29/F29/I29",Values!E29,Errors!E29,Values!K29,Errors!K29,Values!F29,Errors!F29,Values!I29,Errors!I29)</f>
        <v>6.8736786567876757E-3</v>
      </c>
      <c r="N29">
        <f>ERR("=G29/E29/K29/B29*H29",Values!G29,Errors!G29,Values!E29,Errors!E29,Values!K29,Errors!K29,Values!B29,Errors!B29,Values!H29,Errors!H29)</f>
        <v>4.3081899794812854E-2</v>
      </c>
      <c r="O29">
        <f>ERR("=10^(-3)*1/(2*3.1415*D29*B29)",Values!D29,Errors!D29,Values!B29,Errors!B29)</f>
        <v>9.6198302974696183E-5</v>
      </c>
      <c r="P29">
        <f>ERR("=N29-J29-O29",Values!N29,Errors!N29,Values!J29,Errors!J29,Values!O29,Errors!O29)</f>
        <v>0.10888554122674522</v>
      </c>
    </row>
    <row r="30" spans="1:24" x14ac:dyDescent="0.3">
      <c r="G30" t="s">
        <v>25</v>
      </c>
      <c r="H30">
        <f>ERR("=(H23+H25+H24+H26+H27+H28+H29)/7",Values!H23,Errors!H23,Values!H25,Errors!H25,Values!H24,Errors!H24,Values!H26,Errors!H26,Values!H27,Errors!H27,Values!H28,Errors!H28,Values!H29,Errors!H29)</f>
        <v>8.5506502818626176E-7</v>
      </c>
      <c r="I30">
        <f>ERR("=(I23+I25+I24+I26+I27+I28+I29)/7",Values!I23,Errors!I23,Values!I25,Errors!I25,Values!I24,Errors!I24,Values!I26,Errors!I26,Values!I27,Errors!I27,Values!I28,Errors!I28,Values!I29,Errors!I29)</f>
        <v>0.14932653585719766</v>
      </c>
      <c r="J30">
        <f>ERR("=(J23+J25+J24+J26+J27+J28+J29)/7",Values!J23,Errors!J23,Values!J25,Errors!J25,Values!J24,Errors!J24,Values!J26,Errors!J26,Values!J27,Errors!J27,Values!J28,Errors!J28,Values!J29,Errors!J29)</f>
        <v>3.7796450428214785E-2</v>
      </c>
      <c r="K30">
        <f>ERR("=(K23+K25+K24+K26+K27+K28+K29)/7",Values!K23,Errors!K23,Values!K25,Errors!K25,Values!K24,Errors!K24,Values!K26,Errors!K26,Values!K27,Errors!K27,Values!K28,Errors!K28,Values!K29,Errors!K29)</f>
        <v>0.37796525028189981</v>
      </c>
      <c r="L30">
        <f>ERR("=(L23+L25+L24+L26+L27+L28+L29)/7",Values!L23,Errors!L23,Values!L25,Errors!L25,Values!L24,Errors!L24,Values!L26,Errors!L26,Values!L27,Errors!L27,Values!L28,Errors!L28,Values!L29,Errors!L29)</f>
        <v>55.537508272113513</v>
      </c>
      <c r="M30">
        <f>ERR("=(M23+M25+M24+M26+M27+M28+M29)/7",Values!M23,Errors!M23,Values!M25,Errors!M25,Values!M24,Errors!M24,Values!M26,Errors!M26,Values!M27,Errors!M27,Values!M28,Errors!M28,Values!M29,Errors!M29)</f>
        <v>9.3709525231465383E-3</v>
      </c>
      <c r="N30">
        <f>ERR("=(N23+N25+N24+N26+N27+N28+N29)/7",Values!N23,Errors!N23,Values!N25,Errors!N25,Values!N24,Errors!N24,Values!N26,Errors!N26,Values!N27,Errors!N27,Values!N28,Errors!N28,Values!N29,Errors!N29)</f>
        <v>1.0208931680179782E-2</v>
      </c>
      <c r="O30">
        <f>ERR("=(O23+O25+O24+O26+O27+O28+O29)/7",Values!O23,Errors!O23,Values!O25,Errors!O25,Values!O24,Errors!O24,Values!O26,Errors!O26,Values!O27,Errors!O27,Values!O28,Errors!O28,Values!O29,Errors!O29)</f>
        <v>1.4932628421399487E-4</v>
      </c>
      <c r="P30">
        <f>ERR("=(P23+P25+P24+P26+P27+P28+P29)/7",Values!P23,Errors!P23,Values!P25,Errors!P25,Values!P24,Errors!P24,Values!P26,Errors!P26,Values!P27,Errors!P27,Values!P28,Errors!P28,Values!P29,Errors!P29)</f>
        <v>3.9151218176155654E-2</v>
      </c>
    </row>
    <row r="33" spans="1:11" x14ac:dyDescent="0.3">
      <c r="A33" t="s">
        <v>11</v>
      </c>
      <c r="B33" t="s">
        <v>3</v>
      </c>
      <c r="C33" t="s">
        <v>4</v>
      </c>
      <c r="D33" t="s">
        <v>13</v>
      </c>
      <c r="E33" t="s">
        <v>14</v>
      </c>
      <c r="F33" t="s">
        <v>17</v>
      </c>
      <c r="G33" t="s">
        <v>18</v>
      </c>
      <c r="H33" t="s">
        <v>20</v>
      </c>
      <c r="I33" t="s">
        <v>22</v>
      </c>
      <c r="J33" t="s">
        <v>23</v>
      </c>
      <c r="K33" t="s">
        <v>24</v>
      </c>
    </row>
    <row r="41" spans="1:11" x14ac:dyDescent="0.3">
      <c r="A41" t="s">
        <v>25</v>
      </c>
    </row>
    <row r="42" spans="1:11" x14ac:dyDescent="0.3">
      <c r="A4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2024-09-18T15:37:13Z</dcterms:modified>
</cp:coreProperties>
</file>